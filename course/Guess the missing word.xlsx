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so.han/Documents/Obsidian Vault/Projects/LLM and Enterprise RAG Bootcamp/course/"/>
    </mc:Choice>
  </mc:AlternateContent>
  <xr:revisionPtr revIDLastSave="0" documentId="8_{8B4314B5-F652-3447-B3F2-089858B45494}" xr6:coauthVersionLast="47" xr6:coauthVersionMax="47" xr10:uidLastSave="{00000000-0000-0000-0000-000000000000}"/>
  <bookViews>
    <workbookView xWindow="0" yWindow="660" windowWidth="34560" windowHeight="19980" xr2:uid="{AA92C683-3F9A-C74E-9F4F-7DF2604887F4}"/>
  </bookViews>
  <sheets>
    <sheet name="Tibetan" sheetId="1" r:id="rId1"/>
    <sheet name="Spanish" sheetId="2" r:id="rId2"/>
    <sheet name="English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8" i="1" l="1"/>
  <c r="H77" i="1"/>
  <c r="H76" i="1"/>
  <c r="H75" i="1"/>
  <c r="H74" i="1"/>
  <c r="H73" i="1"/>
  <c r="H72" i="1"/>
  <c r="H71" i="1"/>
  <c r="H63" i="1"/>
  <c r="H61" i="1"/>
  <c r="H60" i="1"/>
  <c r="H58" i="1"/>
  <c r="H57" i="1"/>
  <c r="H56" i="1"/>
  <c r="H55" i="1"/>
  <c r="H47" i="1"/>
  <c r="H46" i="1"/>
  <c r="H43" i="1"/>
  <c r="H42" i="1"/>
  <c r="H41" i="1"/>
  <c r="H38" i="1"/>
  <c r="H25" i="1"/>
  <c r="H26" i="1"/>
  <c r="H27" i="1"/>
  <c r="H28" i="1"/>
  <c r="H29" i="1"/>
  <c r="H24" i="1"/>
  <c r="H23" i="1"/>
  <c r="H15" i="1"/>
  <c r="H14" i="1"/>
  <c r="H12" i="1"/>
  <c r="H11" i="1"/>
  <c r="H10" i="1"/>
  <c r="H9" i="1"/>
  <c r="H8" i="1"/>
  <c r="H7" i="1"/>
  <c r="H15" i="3"/>
  <c r="H14" i="3"/>
  <c r="H13" i="3"/>
  <c r="H12" i="3"/>
  <c r="H9" i="3"/>
  <c r="H8" i="3"/>
  <c r="H22" i="3"/>
  <c r="H23" i="3"/>
  <c r="H24" i="3"/>
  <c r="H25" i="3"/>
  <c r="H26" i="3"/>
  <c r="H27" i="3"/>
  <c r="H28" i="3"/>
  <c r="H29" i="3"/>
  <c r="H30" i="3"/>
  <c r="H31" i="3"/>
  <c r="H38" i="3"/>
  <c r="H39" i="3"/>
  <c r="H40" i="3"/>
  <c r="H41" i="3"/>
  <c r="H44" i="3"/>
  <c r="H45" i="3"/>
  <c r="H46" i="3"/>
  <c r="H47" i="3"/>
  <c r="H53" i="3"/>
  <c r="H54" i="3"/>
  <c r="H56" i="3"/>
  <c r="H57" i="3"/>
  <c r="H59" i="3"/>
  <c r="H60" i="3"/>
  <c r="H62" i="3"/>
  <c r="H77" i="3"/>
  <c r="H76" i="3"/>
  <c r="H75" i="3"/>
  <c r="H74" i="3"/>
  <c r="H72" i="3"/>
  <c r="H71" i="3"/>
  <c r="H70" i="3"/>
  <c r="H69" i="3"/>
  <c r="H68" i="3"/>
  <c r="H71" i="2"/>
  <c r="H70" i="2"/>
  <c r="H68" i="2"/>
  <c r="H67" i="2"/>
  <c r="H66" i="2"/>
  <c r="H65" i="2"/>
  <c r="H64" i="2"/>
  <c r="H63" i="2"/>
  <c r="H5" i="2"/>
  <c r="H8" i="2"/>
  <c r="H7" i="2"/>
  <c r="H12" i="2"/>
  <c r="H14" i="2"/>
  <c r="H28" i="2"/>
  <c r="H27" i="2"/>
  <c r="H24" i="2"/>
  <c r="H23" i="2"/>
  <c r="H21" i="2"/>
  <c r="H19" i="2"/>
  <c r="H33" i="2"/>
  <c r="H35" i="2"/>
  <c r="H37" i="2"/>
  <c r="H55" i="2"/>
  <c r="H53" i="2"/>
  <c r="H52" i="2"/>
  <c r="H50" i="2"/>
  <c r="H48" i="2"/>
  <c r="G69" i="3"/>
  <c r="G70" i="3"/>
  <c r="G71" i="3"/>
  <c r="G72" i="3"/>
  <c r="G73" i="3"/>
  <c r="G74" i="3"/>
  <c r="G75" i="3"/>
  <c r="G76" i="3"/>
  <c r="G77" i="3"/>
  <c r="G68" i="3"/>
  <c r="G54" i="3"/>
  <c r="G55" i="3"/>
  <c r="G56" i="3"/>
  <c r="G57" i="3"/>
  <c r="G58" i="3"/>
  <c r="G59" i="3"/>
  <c r="G60" i="3"/>
  <c r="G61" i="3"/>
  <c r="G62" i="3"/>
  <c r="G53" i="3"/>
  <c r="G39" i="3"/>
  <c r="G40" i="3"/>
  <c r="G41" i="3"/>
  <c r="G42" i="3"/>
  <c r="G43" i="3"/>
  <c r="G44" i="3"/>
  <c r="G45" i="3"/>
  <c r="G46" i="3"/>
  <c r="G47" i="3"/>
  <c r="G38" i="3"/>
  <c r="G23" i="3"/>
  <c r="G24" i="3"/>
  <c r="G25" i="3"/>
  <c r="G26" i="3"/>
  <c r="G27" i="3"/>
  <c r="G28" i="3"/>
  <c r="G29" i="3"/>
  <c r="G30" i="3"/>
  <c r="G31" i="3"/>
  <c r="G22" i="3"/>
  <c r="G7" i="3"/>
  <c r="G8" i="3"/>
  <c r="G9" i="3"/>
  <c r="G10" i="3"/>
  <c r="G11" i="3"/>
  <c r="G12" i="3"/>
  <c r="G13" i="3"/>
  <c r="G14" i="3"/>
  <c r="G15" i="3"/>
  <c r="G6" i="3"/>
  <c r="G64" i="2"/>
  <c r="G65" i="2"/>
  <c r="G66" i="2"/>
  <c r="G67" i="2"/>
  <c r="G68" i="2"/>
  <c r="G69" i="2"/>
  <c r="G70" i="2"/>
  <c r="G71" i="2"/>
  <c r="G72" i="2"/>
  <c r="G63" i="2"/>
  <c r="G49" i="2"/>
  <c r="G50" i="2"/>
  <c r="G51" i="2"/>
  <c r="G52" i="2"/>
  <c r="G53" i="2"/>
  <c r="G54" i="2"/>
  <c r="G55" i="2"/>
  <c r="G56" i="2"/>
  <c r="G57" i="2"/>
  <c r="G48" i="2"/>
  <c r="G34" i="2"/>
  <c r="G35" i="2"/>
  <c r="G36" i="2"/>
  <c r="G37" i="2"/>
  <c r="G38" i="2"/>
  <c r="G39" i="2"/>
  <c r="G40" i="2"/>
  <c r="G41" i="2"/>
  <c r="G42" i="2"/>
  <c r="G33" i="2"/>
  <c r="G28" i="2"/>
  <c r="G20" i="2"/>
  <c r="G21" i="2"/>
  <c r="G22" i="2"/>
  <c r="G23" i="2"/>
  <c r="G24" i="2"/>
  <c r="G25" i="2"/>
  <c r="G26" i="2"/>
  <c r="G27" i="2"/>
  <c r="G19" i="2"/>
  <c r="G6" i="2"/>
  <c r="G7" i="2"/>
  <c r="G8" i="2"/>
  <c r="G9" i="2"/>
  <c r="G10" i="2"/>
  <c r="G11" i="2"/>
  <c r="G12" i="2"/>
  <c r="G13" i="2"/>
  <c r="G14" i="2"/>
  <c r="G5" i="2"/>
  <c r="G79" i="1"/>
  <c r="G78" i="1"/>
  <c r="G77" i="1"/>
  <c r="G76" i="1"/>
  <c r="G75" i="1"/>
  <c r="G74" i="1"/>
  <c r="G73" i="1"/>
  <c r="G72" i="1"/>
  <c r="G71" i="1"/>
  <c r="G70" i="1"/>
  <c r="G64" i="1"/>
  <c r="G63" i="1"/>
  <c r="G62" i="1"/>
  <c r="G61" i="1"/>
  <c r="G60" i="1"/>
  <c r="G59" i="1"/>
  <c r="G58" i="1"/>
  <c r="G57" i="1"/>
  <c r="G56" i="1"/>
  <c r="G55" i="1"/>
  <c r="G47" i="1"/>
  <c r="G46" i="1"/>
  <c r="G45" i="1"/>
  <c r="G44" i="1"/>
  <c r="G43" i="1"/>
  <c r="G42" i="1"/>
  <c r="G41" i="1"/>
  <c r="G40" i="1"/>
  <c r="G39" i="1"/>
  <c r="G38" i="1"/>
  <c r="G32" i="1"/>
  <c r="G31" i="1"/>
  <c r="G30" i="1"/>
  <c r="G29" i="1"/>
  <c r="G28" i="1"/>
  <c r="G27" i="1"/>
  <c r="G26" i="1"/>
  <c r="G25" i="1"/>
  <c r="G24" i="1"/>
  <c r="G23" i="1"/>
  <c r="G7" i="1"/>
  <c r="G8" i="1"/>
  <c r="G9" i="1"/>
  <c r="G10" i="1"/>
  <c r="G11" i="1"/>
  <c r="G12" i="1"/>
  <c r="G13" i="1"/>
  <c r="G14" i="1"/>
  <c r="G15" i="1"/>
  <c r="G6" i="1"/>
  <c r="F78" i="3"/>
  <c r="F63" i="3"/>
  <c r="F48" i="3"/>
  <c r="F32" i="3"/>
  <c r="F16" i="3"/>
  <c r="F73" i="2"/>
  <c r="F58" i="2"/>
  <c r="F43" i="2"/>
  <c r="F29" i="2"/>
  <c r="F15" i="2"/>
  <c r="F80" i="1"/>
  <c r="F65" i="1"/>
  <c r="F48" i="1"/>
  <c r="F33" i="1"/>
  <c r="F16" i="1"/>
</calcChain>
</file>

<file path=xl/sharedStrings.xml><?xml version="1.0" encoding="utf-8"?>
<sst xmlns="http://schemas.openxmlformats.org/spreadsheetml/2006/main" count="617" uniqueCount="67">
  <si>
    <t>nga bod pa ___</t>
  </si>
  <si>
    <t>Card</t>
  </si>
  <si>
    <t>Language</t>
  </si>
  <si>
    <t>My answer</t>
  </si>
  <si>
    <t>Chips</t>
  </si>
  <si>
    <t>Probability</t>
  </si>
  <si>
    <t>Surprise</t>
  </si>
  <si>
    <t>T1</t>
  </si>
  <si>
    <t>Tibetan</t>
  </si>
  <si>
    <t>yin</t>
  </si>
  <si>
    <t>T2</t>
  </si>
  <si>
    <t>nga</t>
  </si>
  <si>
    <t>T3</t>
  </si>
  <si>
    <t>khong</t>
  </si>
  <si>
    <t>T4</t>
  </si>
  <si>
    <t>’di</t>
  </si>
  <si>
    <t>T5</t>
  </si>
  <si>
    <t>bod pa</t>
  </si>
  <si>
    <t>S1</t>
  </si>
  <si>
    <t>dge rgan</t>
  </si>
  <si>
    <t>S2</t>
  </si>
  <si>
    <t>dpe cha</t>
  </si>
  <si>
    <t>S3</t>
  </si>
  <si>
    <t>ja</t>
  </si>
  <si>
    <t>E1</t>
  </si>
  <si>
    <t>zhim po</t>
  </si>
  <si>
    <t>E2</t>
  </si>
  <si>
    <t>red</t>
  </si>
  <si>
    <t>khong dge rgan ____</t>
  </si>
  <si>
    <t>di dpe cha _____</t>
  </si>
  <si>
    <t>nga dge rgan ______</t>
  </si>
  <si>
    <t>Tibetan 5</t>
  </si>
  <si>
    <t>spanish 1</t>
  </si>
  <si>
    <t>spanish</t>
  </si>
  <si>
    <t>profesor</t>
  </si>
  <si>
    <t>universidad</t>
  </si>
  <si>
    <t>libro</t>
  </si>
  <si>
    <t>persona</t>
  </si>
  <si>
    <t>delicioso</t>
  </si>
  <si>
    <t>estudiante</t>
  </si>
  <si>
    <t>biblioteca</t>
  </si>
  <si>
    <t>te</t>
  </si>
  <si>
    <t>interesante</t>
  </si>
  <si>
    <t>famoso</t>
  </si>
  <si>
    <t>Spanish 2</t>
  </si>
  <si>
    <t>Spanish 3</t>
  </si>
  <si>
    <t>Spanish 4</t>
  </si>
  <si>
    <t>Spanish 5</t>
  </si>
  <si>
    <t>English 1</t>
  </si>
  <si>
    <t>englsih</t>
  </si>
  <si>
    <t>teacher</t>
  </si>
  <si>
    <t>university</t>
  </si>
  <si>
    <t>book</t>
  </si>
  <si>
    <t>person</t>
  </si>
  <si>
    <t>delicious</t>
  </si>
  <si>
    <t>student</t>
  </si>
  <si>
    <t>library</t>
  </si>
  <si>
    <t>tea</t>
  </si>
  <si>
    <t>interesting</t>
  </si>
  <si>
    <t>famous</t>
  </si>
  <si>
    <t>English 2</t>
  </si>
  <si>
    <t>English 3</t>
  </si>
  <si>
    <t>English 4</t>
  </si>
  <si>
    <t>English 5</t>
  </si>
  <si>
    <t>correct</t>
  </si>
  <si>
    <t>infinit</t>
  </si>
  <si>
    <t>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</si>
</sst>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F0D6-4893-8942-B471-B53A918EDE97}">
  <dimension ref="B3:I80"/>
  <sheetViews>
    <sheetView tabSelected="1" topLeftCell="A46" workbookViewId="0">
      <selection activeCell="H82" sqref="H82"/>
    </sheetView>
  </sheetViews>
  <sheetFormatPr baseColWidth="10" defaultRowHeight="16" x14ac:dyDescent="0.2"/>
  <cols>
    <col min="2" max="2" width="21" customWidth="1"/>
  </cols>
  <sheetData>
    <row r="3" spans="2:9" x14ac:dyDescent="0.2">
      <c r="B3" t="s">
        <v>0</v>
      </c>
    </row>
    <row r="5" spans="2:9" x14ac:dyDescent="0.2"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2:9" x14ac:dyDescent="0.2">
      <c r="C6" t="s">
        <v>7</v>
      </c>
      <c r="D6" t="s">
        <v>8</v>
      </c>
      <c r="E6" s="1" t="s">
        <v>9</v>
      </c>
      <c r="F6" s="1">
        <v>0</v>
      </c>
      <c r="G6" s="1">
        <f>F6/10</f>
        <v>0</v>
      </c>
      <c r="H6" s="1" t="s">
        <v>65</v>
      </c>
      <c r="I6" t="s">
        <v>64</v>
      </c>
    </row>
    <row r="7" spans="2:9" x14ac:dyDescent="0.2">
      <c r="C7" t="s">
        <v>10</v>
      </c>
      <c r="D7" t="s">
        <v>8</v>
      </c>
      <c r="E7" s="1" t="s">
        <v>11</v>
      </c>
      <c r="F7" s="1">
        <v>1</v>
      </c>
      <c r="G7" s="1">
        <f t="shared" ref="G7:G15" si="0">F7/10</f>
        <v>0.1</v>
      </c>
      <c r="H7" s="1">
        <f>LOG(G7,2)*-1</f>
        <v>3.3219280948873622</v>
      </c>
    </row>
    <row r="8" spans="2:9" x14ac:dyDescent="0.2">
      <c r="C8" t="s">
        <v>12</v>
      </c>
      <c r="D8" t="s">
        <v>8</v>
      </c>
      <c r="E8" t="s">
        <v>13</v>
      </c>
      <c r="F8">
        <v>1</v>
      </c>
      <c r="G8" s="1">
        <f t="shared" si="0"/>
        <v>0.1</v>
      </c>
      <c r="H8" s="1">
        <f>LOG(G8,2)*-1</f>
        <v>3.3219280948873622</v>
      </c>
    </row>
    <row r="9" spans="2:9" x14ac:dyDescent="0.2">
      <c r="C9" t="s">
        <v>14</v>
      </c>
      <c r="D9" t="s">
        <v>8</v>
      </c>
      <c r="E9" t="s">
        <v>15</v>
      </c>
      <c r="F9">
        <v>1</v>
      </c>
      <c r="G9" s="1">
        <f t="shared" si="0"/>
        <v>0.1</v>
      </c>
      <c r="H9" s="1">
        <f>LOG(G9,2)*-1</f>
        <v>3.3219280948873622</v>
      </c>
    </row>
    <row r="10" spans="2:9" x14ac:dyDescent="0.2">
      <c r="C10" t="s">
        <v>16</v>
      </c>
      <c r="D10" t="s">
        <v>8</v>
      </c>
      <c r="E10" t="s">
        <v>17</v>
      </c>
      <c r="F10">
        <v>2</v>
      </c>
      <c r="G10" s="1">
        <f t="shared" si="0"/>
        <v>0.2</v>
      </c>
      <c r="H10" s="1">
        <f>LOG(G10,2)*-1</f>
        <v>2.3219280948873622</v>
      </c>
    </row>
    <row r="11" spans="2:9" x14ac:dyDescent="0.2">
      <c r="C11" t="s">
        <v>18</v>
      </c>
      <c r="D11" t="s">
        <v>8</v>
      </c>
      <c r="E11" t="s">
        <v>19</v>
      </c>
      <c r="F11">
        <v>1</v>
      </c>
      <c r="G11" s="1">
        <f t="shared" si="0"/>
        <v>0.1</v>
      </c>
      <c r="H11" s="1">
        <f>LOG(G11,2)*-1</f>
        <v>3.3219280948873622</v>
      </c>
    </row>
    <row r="12" spans="2:9" x14ac:dyDescent="0.2">
      <c r="C12" t="s">
        <v>20</v>
      </c>
      <c r="D12" t="s">
        <v>8</v>
      </c>
      <c r="E12" t="s">
        <v>21</v>
      </c>
      <c r="F12">
        <v>2</v>
      </c>
      <c r="G12" s="1">
        <f t="shared" si="0"/>
        <v>0.2</v>
      </c>
      <c r="H12" s="1">
        <f>LOG(G12,2)*-1</f>
        <v>2.3219280948873622</v>
      </c>
    </row>
    <row r="13" spans="2:9" x14ac:dyDescent="0.2">
      <c r="C13" t="s">
        <v>22</v>
      </c>
      <c r="D13" t="s">
        <v>8</v>
      </c>
      <c r="E13" t="s">
        <v>23</v>
      </c>
      <c r="F13">
        <v>0</v>
      </c>
      <c r="G13" s="1">
        <f t="shared" si="0"/>
        <v>0</v>
      </c>
      <c r="H13" s="1" t="s">
        <v>65</v>
      </c>
    </row>
    <row r="14" spans="2:9" x14ac:dyDescent="0.2">
      <c r="C14" t="s">
        <v>24</v>
      </c>
      <c r="D14" t="s">
        <v>8</v>
      </c>
      <c r="E14" t="s">
        <v>25</v>
      </c>
      <c r="F14">
        <v>1</v>
      </c>
      <c r="G14" s="1">
        <f t="shared" si="0"/>
        <v>0.1</v>
      </c>
      <c r="H14" s="1">
        <f>LOG(G14,2)*-1</f>
        <v>3.3219280948873622</v>
      </c>
    </row>
    <row r="15" spans="2:9" x14ac:dyDescent="0.2">
      <c r="C15" t="s">
        <v>26</v>
      </c>
      <c r="D15" t="s">
        <v>8</v>
      </c>
      <c r="E15" t="s">
        <v>27</v>
      </c>
      <c r="F15">
        <v>1</v>
      </c>
      <c r="G15" s="1">
        <f t="shared" si="0"/>
        <v>0.1</v>
      </c>
      <c r="H15" s="1">
        <f>LOG(G15,2)*-1</f>
        <v>3.3219280948873622</v>
      </c>
    </row>
    <row r="16" spans="2:9" x14ac:dyDescent="0.2">
      <c r="F16">
        <f>SUM(F6:F15)</f>
        <v>10</v>
      </c>
    </row>
    <row r="20" spans="2:9" x14ac:dyDescent="0.2">
      <c r="B20" t="s">
        <v>28</v>
      </c>
    </row>
    <row r="22" spans="2:9" x14ac:dyDescent="0.2">
      <c r="C22" s="1" t="s">
        <v>1</v>
      </c>
      <c r="D22" s="1" t="s">
        <v>2</v>
      </c>
      <c r="E22" s="1" t="s">
        <v>3</v>
      </c>
      <c r="F22" s="1" t="s">
        <v>4</v>
      </c>
      <c r="G22" s="1" t="s">
        <v>5</v>
      </c>
      <c r="H22" s="1" t="s">
        <v>6</v>
      </c>
    </row>
    <row r="23" spans="2:9" x14ac:dyDescent="0.2">
      <c r="C23" t="s">
        <v>7</v>
      </c>
      <c r="D23" t="s">
        <v>8</v>
      </c>
      <c r="E23" s="1" t="s">
        <v>9</v>
      </c>
      <c r="F23" s="1">
        <v>1</v>
      </c>
      <c r="G23" s="1">
        <f>F23/10</f>
        <v>0.1</v>
      </c>
      <c r="H23" s="1">
        <f>LOG(G23,2)*-1</f>
        <v>3.3219280948873622</v>
      </c>
    </row>
    <row r="24" spans="2:9" x14ac:dyDescent="0.2">
      <c r="C24" t="s">
        <v>10</v>
      </c>
      <c r="D24" t="s">
        <v>8</v>
      </c>
      <c r="E24" s="1" t="s">
        <v>11</v>
      </c>
      <c r="F24" s="1">
        <v>1</v>
      </c>
      <c r="G24" s="1">
        <f t="shared" ref="G24:G32" si="1">F24/10</f>
        <v>0.1</v>
      </c>
      <c r="H24" s="1">
        <f>LOG(G24,2)*-1</f>
        <v>3.3219280948873622</v>
      </c>
    </row>
    <row r="25" spans="2:9" x14ac:dyDescent="0.2">
      <c r="C25" t="s">
        <v>12</v>
      </c>
      <c r="D25" t="s">
        <v>8</v>
      </c>
      <c r="E25" t="s">
        <v>13</v>
      </c>
      <c r="F25">
        <v>2</v>
      </c>
      <c r="G25" s="1">
        <f t="shared" si="1"/>
        <v>0.2</v>
      </c>
      <c r="H25" s="1">
        <f>LOG(G25,2)*-1</f>
        <v>2.3219280948873622</v>
      </c>
    </row>
    <row r="26" spans="2:9" x14ac:dyDescent="0.2">
      <c r="C26" t="s">
        <v>14</v>
      </c>
      <c r="D26" t="s">
        <v>8</v>
      </c>
      <c r="E26" t="s">
        <v>15</v>
      </c>
      <c r="F26">
        <v>1</v>
      </c>
      <c r="G26" s="1">
        <f t="shared" si="1"/>
        <v>0.1</v>
      </c>
      <c r="H26" s="1">
        <f>LOG(G26,2)*-1</f>
        <v>3.3219280948873622</v>
      </c>
    </row>
    <row r="27" spans="2:9" x14ac:dyDescent="0.2">
      <c r="C27" t="s">
        <v>16</v>
      </c>
      <c r="D27" t="s">
        <v>8</v>
      </c>
      <c r="E27" t="s">
        <v>17</v>
      </c>
      <c r="F27">
        <v>2</v>
      </c>
      <c r="G27" s="1">
        <f t="shared" si="1"/>
        <v>0.2</v>
      </c>
      <c r="H27" s="1">
        <f>LOG(G27,2)*-1</f>
        <v>2.3219280948873622</v>
      </c>
    </row>
    <row r="28" spans="2:9" x14ac:dyDescent="0.2">
      <c r="C28" t="s">
        <v>18</v>
      </c>
      <c r="D28" t="s">
        <v>8</v>
      </c>
      <c r="E28" t="s">
        <v>19</v>
      </c>
      <c r="F28">
        <v>1</v>
      </c>
      <c r="G28" s="1">
        <f t="shared" si="1"/>
        <v>0.1</v>
      </c>
      <c r="H28" s="1">
        <f>LOG(G28,2)*-1</f>
        <v>3.3219280948873622</v>
      </c>
    </row>
    <row r="29" spans="2:9" x14ac:dyDescent="0.2">
      <c r="C29" t="s">
        <v>20</v>
      </c>
      <c r="D29" t="s">
        <v>8</v>
      </c>
      <c r="E29" t="s">
        <v>21</v>
      </c>
      <c r="F29">
        <v>2</v>
      </c>
      <c r="G29" s="1">
        <f t="shared" si="1"/>
        <v>0.2</v>
      </c>
      <c r="H29" s="1">
        <f>LOG(G29,2)*-1</f>
        <v>2.3219280948873622</v>
      </c>
    </row>
    <row r="30" spans="2:9" x14ac:dyDescent="0.2">
      <c r="C30" t="s">
        <v>22</v>
      </c>
      <c r="D30" t="s">
        <v>8</v>
      </c>
      <c r="E30" t="s">
        <v>23</v>
      </c>
      <c r="F30">
        <v>0</v>
      </c>
      <c r="G30" s="1">
        <f t="shared" si="1"/>
        <v>0</v>
      </c>
      <c r="H30" s="1" t="s">
        <v>65</v>
      </c>
    </row>
    <row r="31" spans="2:9" x14ac:dyDescent="0.2">
      <c r="C31" t="s">
        <v>24</v>
      </c>
      <c r="D31" t="s">
        <v>8</v>
      </c>
      <c r="E31" t="s">
        <v>25</v>
      </c>
      <c r="F31">
        <v>0</v>
      </c>
      <c r="G31" s="1">
        <f t="shared" si="1"/>
        <v>0</v>
      </c>
      <c r="H31" s="1" t="s">
        <v>65</v>
      </c>
    </row>
    <row r="32" spans="2:9" x14ac:dyDescent="0.2">
      <c r="C32" t="s">
        <v>26</v>
      </c>
      <c r="D32" t="s">
        <v>8</v>
      </c>
      <c r="E32" t="s">
        <v>27</v>
      </c>
      <c r="F32">
        <v>0</v>
      </c>
      <c r="G32" s="1">
        <f t="shared" si="1"/>
        <v>0</v>
      </c>
      <c r="H32" s="1" t="s">
        <v>65</v>
      </c>
      <c r="I32" t="s">
        <v>64</v>
      </c>
    </row>
    <row r="33" spans="2:9" x14ac:dyDescent="0.2">
      <c r="F33">
        <f>SUM(F23:F32)</f>
        <v>10</v>
      </c>
    </row>
    <row r="36" spans="2:9" x14ac:dyDescent="0.2">
      <c r="B36" s="2" t="s">
        <v>29</v>
      </c>
    </row>
    <row r="37" spans="2:9" x14ac:dyDescent="0.2"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  <c r="H37" s="1" t="s">
        <v>6</v>
      </c>
    </row>
    <row r="38" spans="2:9" x14ac:dyDescent="0.2">
      <c r="C38" t="s">
        <v>7</v>
      </c>
      <c r="D38" t="s">
        <v>8</v>
      </c>
      <c r="E38" s="1" t="s">
        <v>9</v>
      </c>
      <c r="F38" s="1">
        <v>1</v>
      </c>
      <c r="G38" s="1">
        <f>F38/10</f>
        <v>0.1</v>
      </c>
      <c r="H38" s="1">
        <f>LOG(G38,2)*-1</f>
        <v>3.3219280948873622</v>
      </c>
    </row>
    <row r="39" spans="2:9" x14ac:dyDescent="0.2">
      <c r="C39" t="s">
        <v>10</v>
      </c>
      <c r="D39" t="s">
        <v>8</v>
      </c>
      <c r="E39" s="1" t="s">
        <v>11</v>
      </c>
      <c r="F39" s="1">
        <v>0</v>
      </c>
      <c r="G39" s="1">
        <f t="shared" ref="G39:G47" si="2">F39/10</f>
        <v>0</v>
      </c>
      <c r="H39" s="1" t="s">
        <v>65</v>
      </c>
    </row>
    <row r="40" spans="2:9" x14ac:dyDescent="0.2">
      <c r="C40" t="s">
        <v>12</v>
      </c>
      <c r="D40" t="s">
        <v>8</v>
      </c>
      <c r="E40" t="s">
        <v>13</v>
      </c>
      <c r="F40">
        <v>0</v>
      </c>
      <c r="G40" s="1">
        <f t="shared" si="2"/>
        <v>0</v>
      </c>
      <c r="H40" s="1" t="s">
        <v>65</v>
      </c>
    </row>
    <row r="41" spans="2:9" x14ac:dyDescent="0.2">
      <c r="C41" t="s">
        <v>14</v>
      </c>
      <c r="D41" t="s">
        <v>8</v>
      </c>
      <c r="E41" t="s">
        <v>15</v>
      </c>
      <c r="F41">
        <v>1</v>
      </c>
      <c r="G41" s="1">
        <f t="shared" si="2"/>
        <v>0.1</v>
      </c>
      <c r="H41" s="1">
        <f>LOG(G41,2)*-1</f>
        <v>3.3219280948873622</v>
      </c>
    </row>
    <row r="42" spans="2:9" x14ac:dyDescent="0.2">
      <c r="C42" t="s">
        <v>16</v>
      </c>
      <c r="D42" t="s">
        <v>8</v>
      </c>
      <c r="E42" t="s">
        <v>17</v>
      </c>
      <c r="F42">
        <v>4</v>
      </c>
      <c r="G42" s="1">
        <f t="shared" si="2"/>
        <v>0.4</v>
      </c>
      <c r="H42" s="1">
        <f>LOG(G42,2)*-1</f>
        <v>1.3219280948873622</v>
      </c>
    </row>
    <row r="43" spans="2:9" x14ac:dyDescent="0.2">
      <c r="C43" t="s">
        <v>18</v>
      </c>
      <c r="D43" t="s">
        <v>8</v>
      </c>
      <c r="E43" t="s">
        <v>19</v>
      </c>
      <c r="F43">
        <v>1</v>
      </c>
      <c r="G43" s="1">
        <f t="shared" si="2"/>
        <v>0.1</v>
      </c>
      <c r="H43" s="1">
        <f>LOG(G43,2)*-1</f>
        <v>3.3219280948873622</v>
      </c>
    </row>
    <row r="44" spans="2:9" x14ac:dyDescent="0.2">
      <c r="C44" t="s">
        <v>20</v>
      </c>
      <c r="D44" t="s">
        <v>8</v>
      </c>
      <c r="E44" t="s">
        <v>21</v>
      </c>
      <c r="F44">
        <v>0</v>
      </c>
      <c r="G44" s="1">
        <f t="shared" si="2"/>
        <v>0</v>
      </c>
      <c r="H44" s="1" t="s">
        <v>65</v>
      </c>
    </row>
    <row r="45" spans="2:9" x14ac:dyDescent="0.2">
      <c r="C45" t="s">
        <v>22</v>
      </c>
      <c r="D45" t="s">
        <v>8</v>
      </c>
      <c r="E45" t="s">
        <v>23</v>
      </c>
      <c r="F45">
        <v>0</v>
      </c>
      <c r="G45" s="1">
        <f t="shared" si="2"/>
        <v>0</v>
      </c>
      <c r="H45" s="1" t="s">
        <v>65</v>
      </c>
    </row>
    <row r="46" spans="2:9" x14ac:dyDescent="0.2">
      <c r="C46" t="s">
        <v>24</v>
      </c>
      <c r="D46" t="s">
        <v>8</v>
      </c>
      <c r="E46" t="s">
        <v>25</v>
      </c>
      <c r="F46">
        <v>2</v>
      </c>
      <c r="G46" s="1">
        <f t="shared" si="2"/>
        <v>0.2</v>
      </c>
      <c r="H46" s="1">
        <f>LOG(G46,2)*-1</f>
        <v>2.3219280948873622</v>
      </c>
    </row>
    <row r="47" spans="2:9" x14ac:dyDescent="0.2">
      <c r="C47" t="s">
        <v>26</v>
      </c>
      <c r="D47" t="s">
        <v>8</v>
      </c>
      <c r="E47" t="s">
        <v>27</v>
      </c>
      <c r="F47">
        <v>1</v>
      </c>
      <c r="G47" s="1">
        <f t="shared" si="2"/>
        <v>0.1</v>
      </c>
      <c r="H47" s="1">
        <f>LOG(G47,2)*-1</f>
        <v>3.3219280948873622</v>
      </c>
      <c r="I47" t="s">
        <v>64</v>
      </c>
    </row>
    <row r="48" spans="2:9" x14ac:dyDescent="0.2">
      <c r="F48">
        <f>SUM(F38:F47)</f>
        <v>10</v>
      </c>
    </row>
    <row r="53" spans="2:9" x14ac:dyDescent="0.2">
      <c r="B53" t="s">
        <v>30</v>
      </c>
    </row>
    <row r="54" spans="2:9" x14ac:dyDescent="0.2">
      <c r="C54" s="1" t="s">
        <v>1</v>
      </c>
      <c r="D54" s="1" t="s">
        <v>2</v>
      </c>
      <c r="E54" s="1" t="s">
        <v>3</v>
      </c>
      <c r="F54" s="1" t="s">
        <v>4</v>
      </c>
      <c r="G54" s="1" t="s">
        <v>5</v>
      </c>
      <c r="H54" s="1" t="s">
        <v>6</v>
      </c>
    </row>
    <row r="55" spans="2:9" x14ac:dyDescent="0.2">
      <c r="C55" t="s">
        <v>7</v>
      </c>
      <c r="D55" t="s">
        <v>8</v>
      </c>
      <c r="E55" s="1" t="s">
        <v>9</v>
      </c>
      <c r="F55" s="1">
        <v>2</v>
      </c>
      <c r="G55" s="1">
        <f>F55/10</f>
        <v>0.2</v>
      </c>
      <c r="H55" s="1">
        <f>LOG(G55,2)*-1</f>
        <v>2.3219280948873622</v>
      </c>
      <c r="I55" t="s">
        <v>64</v>
      </c>
    </row>
    <row r="56" spans="2:9" x14ac:dyDescent="0.2">
      <c r="C56" t="s">
        <v>10</v>
      </c>
      <c r="D56" t="s">
        <v>8</v>
      </c>
      <c r="E56" s="1" t="s">
        <v>11</v>
      </c>
      <c r="F56" s="1">
        <v>1</v>
      </c>
      <c r="G56" s="1">
        <f t="shared" ref="G56:G64" si="3">F56/10</f>
        <v>0.1</v>
      </c>
      <c r="H56" s="1">
        <f>LOG(G56,2)*-1</f>
        <v>3.3219280948873622</v>
      </c>
    </row>
    <row r="57" spans="2:9" x14ac:dyDescent="0.2">
      <c r="C57" t="s">
        <v>12</v>
      </c>
      <c r="D57" t="s">
        <v>8</v>
      </c>
      <c r="E57" t="s">
        <v>13</v>
      </c>
      <c r="F57">
        <v>1</v>
      </c>
      <c r="G57" s="1">
        <f t="shared" si="3"/>
        <v>0.1</v>
      </c>
      <c r="H57" s="1">
        <f>LOG(G57,2)*-1</f>
        <v>3.3219280948873622</v>
      </c>
    </row>
    <row r="58" spans="2:9" x14ac:dyDescent="0.2">
      <c r="C58" t="s">
        <v>14</v>
      </c>
      <c r="D58" t="s">
        <v>8</v>
      </c>
      <c r="E58" t="s">
        <v>15</v>
      </c>
      <c r="F58">
        <v>1</v>
      </c>
      <c r="G58" s="1">
        <f t="shared" si="3"/>
        <v>0.1</v>
      </c>
      <c r="H58" s="1">
        <f>LOG(G58,2)*-1</f>
        <v>3.3219280948873622</v>
      </c>
    </row>
    <row r="59" spans="2:9" x14ac:dyDescent="0.2">
      <c r="C59" t="s">
        <v>16</v>
      </c>
      <c r="D59" t="s">
        <v>8</v>
      </c>
      <c r="E59" t="s">
        <v>17</v>
      </c>
      <c r="F59">
        <v>0</v>
      </c>
      <c r="G59" s="1">
        <f t="shared" si="3"/>
        <v>0</v>
      </c>
      <c r="H59" s="1" t="s">
        <v>65</v>
      </c>
    </row>
    <row r="60" spans="2:9" x14ac:dyDescent="0.2">
      <c r="C60" t="s">
        <v>18</v>
      </c>
      <c r="D60" t="s">
        <v>8</v>
      </c>
      <c r="E60" t="s">
        <v>19</v>
      </c>
      <c r="F60">
        <v>1</v>
      </c>
      <c r="G60" s="1">
        <f t="shared" si="3"/>
        <v>0.1</v>
      </c>
      <c r="H60" s="1">
        <f>LOG(G60,2)*-1</f>
        <v>3.3219280948873622</v>
      </c>
    </row>
    <row r="61" spans="2:9" x14ac:dyDescent="0.2">
      <c r="C61" t="s">
        <v>20</v>
      </c>
      <c r="D61" t="s">
        <v>8</v>
      </c>
      <c r="E61" t="s">
        <v>21</v>
      </c>
      <c r="F61">
        <v>3</v>
      </c>
      <c r="G61" s="1">
        <f t="shared" si="3"/>
        <v>0.3</v>
      </c>
      <c r="H61" s="1">
        <f>LOG(G61,2)*-1</f>
        <v>1.7369655941662063</v>
      </c>
    </row>
    <row r="62" spans="2:9" x14ac:dyDescent="0.2">
      <c r="C62" t="s">
        <v>22</v>
      </c>
      <c r="D62" t="s">
        <v>8</v>
      </c>
      <c r="E62" t="s">
        <v>23</v>
      </c>
      <c r="F62">
        <v>0</v>
      </c>
      <c r="G62" s="1">
        <f t="shared" si="3"/>
        <v>0</v>
      </c>
      <c r="H62" s="1" t="s">
        <v>65</v>
      </c>
    </row>
    <row r="63" spans="2:9" x14ac:dyDescent="0.2">
      <c r="C63" t="s">
        <v>24</v>
      </c>
      <c r="D63" t="s">
        <v>8</v>
      </c>
      <c r="E63" t="s">
        <v>25</v>
      </c>
      <c r="F63">
        <v>1</v>
      </c>
      <c r="G63" s="1">
        <f t="shared" si="3"/>
        <v>0.1</v>
      </c>
      <c r="H63" s="1">
        <f>LOG(G63,2)*-1</f>
        <v>3.3219280948873622</v>
      </c>
    </row>
    <row r="64" spans="2:9" x14ac:dyDescent="0.2">
      <c r="C64" t="s">
        <v>26</v>
      </c>
      <c r="D64" t="s">
        <v>8</v>
      </c>
      <c r="E64" t="s">
        <v>27</v>
      </c>
      <c r="F64">
        <v>0</v>
      </c>
      <c r="G64" s="1">
        <f t="shared" si="3"/>
        <v>0</v>
      </c>
      <c r="H64" s="1" t="s">
        <v>65</v>
      </c>
    </row>
    <row r="65" spans="2:9" x14ac:dyDescent="0.2">
      <c r="F65">
        <f>SUM(F55:F64)</f>
        <v>10</v>
      </c>
    </row>
    <row r="68" spans="2:9" x14ac:dyDescent="0.2">
      <c r="B68" t="s">
        <v>31</v>
      </c>
    </row>
    <row r="69" spans="2:9" x14ac:dyDescent="0.2">
      <c r="C69" s="1" t="s">
        <v>1</v>
      </c>
      <c r="D69" s="1" t="s">
        <v>2</v>
      </c>
      <c r="E69" s="1" t="s">
        <v>3</v>
      </c>
      <c r="F69" s="1" t="s">
        <v>4</v>
      </c>
      <c r="G69" s="1" t="s">
        <v>5</v>
      </c>
      <c r="H69" s="1" t="s">
        <v>6</v>
      </c>
    </row>
    <row r="70" spans="2:9" x14ac:dyDescent="0.2">
      <c r="C70" t="s">
        <v>7</v>
      </c>
      <c r="D70" t="s">
        <v>8</v>
      </c>
      <c r="E70" s="1" t="s">
        <v>9</v>
      </c>
      <c r="F70" s="1">
        <v>0</v>
      </c>
      <c r="G70" s="1">
        <f>F70/10</f>
        <v>0</v>
      </c>
      <c r="H70" s="1" t="s">
        <v>65</v>
      </c>
    </row>
    <row r="71" spans="2:9" x14ac:dyDescent="0.2">
      <c r="C71" t="s">
        <v>10</v>
      </c>
      <c r="D71" t="s">
        <v>8</v>
      </c>
      <c r="E71" s="1" t="s">
        <v>11</v>
      </c>
      <c r="F71" s="1">
        <v>1</v>
      </c>
      <c r="G71" s="1">
        <f t="shared" ref="G71:G79" si="4">F71/10</f>
        <v>0.1</v>
      </c>
      <c r="H71" s="1">
        <f>LOG(G71,2)*-1</f>
        <v>3.3219280948873622</v>
      </c>
    </row>
    <row r="72" spans="2:9" x14ac:dyDescent="0.2">
      <c r="C72" t="s">
        <v>12</v>
      </c>
      <c r="D72" t="s">
        <v>8</v>
      </c>
      <c r="E72" t="s">
        <v>13</v>
      </c>
      <c r="F72">
        <v>1</v>
      </c>
      <c r="G72" s="1">
        <f t="shared" si="4"/>
        <v>0.1</v>
      </c>
      <c r="H72" s="1">
        <f>LOG(G72,2)*-1</f>
        <v>3.3219280948873622</v>
      </c>
    </row>
    <row r="73" spans="2:9" x14ac:dyDescent="0.2">
      <c r="C73" t="s">
        <v>14</v>
      </c>
      <c r="D73" t="s">
        <v>8</v>
      </c>
      <c r="E73" t="s">
        <v>15</v>
      </c>
      <c r="F73">
        <v>2</v>
      </c>
      <c r="G73" s="1">
        <f t="shared" si="4"/>
        <v>0.2</v>
      </c>
      <c r="H73" s="1">
        <f>LOG(G73,2)*-1</f>
        <v>2.3219280948873622</v>
      </c>
    </row>
    <row r="74" spans="2:9" x14ac:dyDescent="0.2">
      <c r="C74" t="s">
        <v>16</v>
      </c>
      <c r="D74" t="s">
        <v>8</v>
      </c>
      <c r="E74" t="s">
        <v>17</v>
      </c>
      <c r="F74">
        <v>1</v>
      </c>
      <c r="G74" s="1">
        <f t="shared" si="4"/>
        <v>0.1</v>
      </c>
      <c r="H74" s="1">
        <f>LOG(G74,2)*-1</f>
        <v>3.3219280948873622</v>
      </c>
    </row>
    <row r="75" spans="2:9" x14ac:dyDescent="0.2">
      <c r="C75" t="s">
        <v>18</v>
      </c>
      <c r="D75" t="s">
        <v>8</v>
      </c>
      <c r="E75" t="s">
        <v>19</v>
      </c>
      <c r="F75">
        <v>1</v>
      </c>
      <c r="G75" s="1">
        <f t="shared" si="4"/>
        <v>0.1</v>
      </c>
      <c r="H75" s="1">
        <f>LOG(G75,2)*-1</f>
        <v>3.3219280948873622</v>
      </c>
    </row>
    <row r="76" spans="2:9" x14ac:dyDescent="0.2">
      <c r="C76" t="s">
        <v>20</v>
      </c>
      <c r="D76" t="s">
        <v>8</v>
      </c>
      <c r="E76" t="s">
        <v>21</v>
      </c>
      <c r="F76">
        <v>2</v>
      </c>
      <c r="G76" s="1">
        <f t="shared" si="4"/>
        <v>0.2</v>
      </c>
      <c r="H76" s="1">
        <f>LOG(G76,2)*-1</f>
        <v>2.3219280948873622</v>
      </c>
    </row>
    <row r="77" spans="2:9" x14ac:dyDescent="0.2">
      <c r="C77" t="s">
        <v>22</v>
      </c>
      <c r="D77" t="s">
        <v>8</v>
      </c>
      <c r="E77" t="s">
        <v>23</v>
      </c>
      <c r="F77">
        <v>1</v>
      </c>
      <c r="G77" s="1">
        <f t="shared" si="4"/>
        <v>0.1</v>
      </c>
      <c r="H77" s="1">
        <f>LOG(G77,2)*-1</f>
        <v>3.3219280948873622</v>
      </c>
    </row>
    <row r="78" spans="2:9" x14ac:dyDescent="0.2">
      <c r="C78" t="s">
        <v>24</v>
      </c>
      <c r="D78" t="s">
        <v>8</v>
      </c>
      <c r="E78" t="s">
        <v>25</v>
      </c>
      <c r="F78">
        <v>1</v>
      </c>
      <c r="G78" s="1">
        <f t="shared" si="4"/>
        <v>0.1</v>
      </c>
      <c r="H78" s="1">
        <f>LOG(G78,2)*-1</f>
        <v>3.3219280948873622</v>
      </c>
    </row>
    <row r="79" spans="2:9" x14ac:dyDescent="0.2">
      <c r="C79" t="s">
        <v>26</v>
      </c>
      <c r="D79" t="s">
        <v>8</v>
      </c>
      <c r="E79" t="s">
        <v>27</v>
      </c>
      <c r="F79">
        <v>0</v>
      </c>
      <c r="G79" s="1">
        <f t="shared" si="4"/>
        <v>0</v>
      </c>
      <c r="H79" s="1" t="s">
        <v>65</v>
      </c>
      <c r="I79" t="s">
        <v>64</v>
      </c>
    </row>
    <row r="80" spans="2:9" x14ac:dyDescent="0.2">
      <c r="F80">
        <f>SUM(F70:F79)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5B5C-C928-964D-81B8-64FCF4DD3ED0}">
  <dimension ref="B2:I73"/>
  <sheetViews>
    <sheetView topLeftCell="A25" workbookViewId="0">
      <selection activeCell="H37" sqref="H37"/>
    </sheetView>
  </sheetViews>
  <sheetFormatPr baseColWidth="10" defaultRowHeight="16" x14ac:dyDescent="0.2"/>
  <sheetData>
    <row r="2" spans="2:9" x14ac:dyDescent="0.2">
      <c r="B2" t="s">
        <v>32</v>
      </c>
    </row>
    <row r="4" spans="2:9" x14ac:dyDescent="0.2"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9" x14ac:dyDescent="0.2">
      <c r="C5" t="s">
        <v>7</v>
      </c>
      <c r="D5" t="s">
        <v>33</v>
      </c>
      <c r="E5" s="1" t="s">
        <v>34</v>
      </c>
      <c r="F5" s="1">
        <v>2</v>
      </c>
      <c r="G5" s="1">
        <f>F5/10</f>
        <v>0.2</v>
      </c>
      <c r="H5" s="1">
        <f>LOG(G5,2)*-1</f>
        <v>2.3219280948873622</v>
      </c>
      <c r="I5" t="s">
        <v>64</v>
      </c>
    </row>
    <row r="6" spans="2:9" x14ac:dyDescent="0.2">
      <c r="C6" t="s">
        <v>10</v>
      </c>
      <c r="D6" t="s">
        <v>33</v>
      </c>
      <c r="E6" s="1" t="s">
        <v>35</v>
      </c>
      <c r="F6" s="1">
        <v>0</v>
      </c>
      <c r="G6" s="1">
        <f t="shared" ref="G6:G14" si="0">F6/10</f>
        <v>0</v>
      </c>
      <c r="H6" s="1" t="s">
        <v>65</v>
      </c>
    </row>
    <row r="7" spans="2:9" x14ac:dyDescent="0.2">
      <c r="C7" t="s">
        <v>12</v>
      </c>
      <c r="D7" t="s">
        <v>33</v>
      </c>
      <c r="E7" t="s">
        <v>36</v>
      </c>
      <c r="F7">
        <v>3</v>
      </c>
      <c r="G7" s="1">
        <f t="shared" si="0"/>
        <v>0.3</v>
      </c>
      <c r="H7" s="1">
        <f>LOG(G7,2)*-1</f>
        <v>1.7369655941662063</v>
      </c>
    </row>
    <row r="8" spans="2:9" x14ac:dyDescent="0.2">
      <c r="C8" t="s">
        <v>14</v>
      </c>
      <c r="D8" t="s">
        <v>33</v>
      </c>
      <c r="E8" t="s">
        <v>37</v>
      </c>
      <c r="F8">
        <v>2</v>
      </c>
      <c r="G8" s="1">
        <f t="shared" si="0"/>
        <v>0.2</v>
      </c>
      <c r="H8" s="1">
        <f>LOG(G8,2)*-1</f>
        <v>2.3219280948873622</v>
      </c>
    </row>
    <row r="9" spans="2:9" x14ac:dyDescent="0.2">
      <c r="C9" t="s">
        <v>16</v>
      </c>
      <c r="D9" t="s">
        <v>33</v>
      </c>
      <c r="E9" t="s">
        <v>38</v>
      </c>
      <c r="F9">
        <v>0</v>
      </c>
      <c r="G9" s="1">
        <f t="shared" si="0"/>
        <v>0</v>
      </c>
      <c r="H9" s="1" t="s">
        <v>65</v>
      </c>
    </row>
    <row r="10" spans="2:9" x14ac:dyDescent="0.2">
      <c r="C10" t="s">
        <v>18</v>
      </c>
      <c r="D10" t="s">
        <v>33</v>
      </c>
      <c r="E10" t="s">
        <v>39</v>
      </c>
      <c r="F10">
        <v>0</v>
      </c>
      <c r="G10" s="1">
        <f t="shared" si="0"/>
        <v>0</v>
      </c>
      <c r="H10" s="1" t="s">
        <v>65</v>
      </c>
    </row>
    <row r="11" spans="2:9" x14ac:dyDescent="0.2">
      <c r="C11" t="s">
        <v>20</v>
      </c>
      <c r="D11" t="s">
        <v>33</v>
      </c>
      <c r="E11" t="s">
        <v>40</v>
      </c>
      <c r="F11">
        <v>0</v>
      </c>
      <c r="G11" s="1">
        <f t="shared" si="0"/>
        <v>0</v>
      </c>
      <c r="H11" s="1" t="s">
        <v>65</v>
      </c>
    </row>
    <row r="12" spans="2:9" x14ac:dyDescent="0.2">
      <c r="C12" t="s">
        <v>22</v>
      </c>
      <c r="D12" t="s">
        <v>33</v>
      </c>
      <c r="E12" t="s">
        <v>41</v>
      </c>
      <c r="F12">
        <v>1</v>
      </c>
      <c r="G12" s="1">
        <f t="shared" si="0"/>
        <v>0.1</v>
      </c>
      <c r="H12" s="1">
        <f>LOG(G12,2)*-1</f>
        <v>3.3219280948873622</v>
      </c>
    </row>
    <row r="13" spans="2:9" x14ac:dyDescent="0.2">
      <c r="C13" t="s">
        <v>24</v>
      </c>
      <c r="D13" t="s">
        <v>33</v>
      </c>
      <c r="E13" t="s">
        <v>42</v>
      </c>
      <c r="F13">
        <v>0</v>
      </c>
      <c r="G13" s="1">
        <f t="shared" si="0"/>
        <v>0</v>
      </c>
      <c r="H13" s="1" t="s">
        <v>65</v>
      </c>
    </row>
    <row r="14" spans="2:9" x14ac:dyDescent="0.2">
      <c r="C14" t="s">
        <v>26</v>
      </c>
      <c r="D14" t="s">
        <v>33</v>
      </c>
      <c r="E14" t="s">
        <v>43</v>
      </c>
      <c r="F14">
        <v>2</v>
      </c>
      <c r="G14" s="1">
        <f t="shared" si="0"/>
        <v>0.2</v>
      </c>
      <c r="H14" s="1">
        <f>LOG(G14,2)*-1</f>
        <v>2.3219280948873622</v>
      </c>
    </row>
    <row r="15" spans="2:9" x14ac:dyDescent="0.2">
      <c r="F15">
        <f>SUM(F5:F14)</f>
        <v>10</v>
      </c>
    </row>
    <row r="17" spans="2:9" x14ac:dyDescent="0.2">
      <c r="B17" t="s">
        <v>44</v>
      </c>
    </row>
    <row r="18" spans="2:9" x14ac:dyDescent="0.2"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</row>
    <row r="19" spans="2:9" x14ac:dyDescent="0.2">
      <c r="C19" t="s">
        <v>7</v>
      </c>
      <c r="D19" t="s">
        <v>33</v>
      </c>
      <c r="E19" s="1" t="s">
        <v>34</v>
      </c>
      <c r="F19" s="1">
        <v>4</v>
      </c>
      <c r="G19" s="1">
        <f t="shared" ref="G19:G28" si="1">F19/10</f>
        <v>0.4</v>
      </c>
      <c r="H19" s="1">
        <f>LOG(G19,2)*-1</f>
        <v>1.3219280948873622</v>
      </c>
    </row>
    <row r="20" spans="2:9" x14ac:dyDescent="0.2">
      <c r="C20" t="s">
        <v>10</v>
      </c>
      <c r="D20" t="s">
        <v>33</v>
      </c>
      <c r="E20" s="1" t="s">
        <v>35</v>
      </c>
      <c r="F20" s="1">
        <v>0</v>
      </c>
      <c r="G20" s="1">
        <f t="shared" si="1"/>
        <v>0</v>
      </c>
      <c r="H20" s="1" t="s">
        <v>65</v>
      </c>
      <c r="I20" t="s">
        <v>64</v>
      </c>
    </row>
    <row r="21" spans="2:9" x14ac:dyDescent="0.2">
      <c r="C21" t="s">
        <v>12</v>
      </c>
      <c r="D21" t="s">
        <v>33</v>
      </c>
      <c r="E21" t="s">
        <v>36</v>
      </c>
      <c r="F21" s="1">
        <v>1</v>
      </c>
      <c r="G21" s="1">
        <f t="shared" si="1"/>
        <v>0.1</v>
      </c>
      <c r="H21" s="1">
        <f>LOG(G21,2)*-1</f>
        <v>3.3219280948873622</v>
      </c>
    </row>
    <row r="22" spans="2:9" x14ac:dyDescent="0.2">
      <c r="C22" t="s">
        <v>14</v>
      </c>
      <c r="D22" t="s">
        <v>33</v>
      </c>
      <c r="E22" t="s">
        <v>37</v>
      </c>
      <c r="F22" s="1">
        <v>0</v>
      </c>
      <c r="G22" s="1">
        <f t="shared" si="1"/>
        <v>0</v>
      </c>
      <c r="H22" s="1" t="s">
        <v>65</v>
      </c>
    </row>
    <row r="23" spans="2:9" x14ac:dyDescent="0.2">
      <c r="C23" t="s">
        <v>16</v>
      </c>
      <c r="D23" t="s">
        <v>33</v>
      </c>
      <c r="E23" t="s">
        <v>38</v>
      </c>
      <c r="F23" s="1">
        <v>1</v>
      </c>
      <c r="G23" s="1">
        <f t="shared" si="1"/>
        <v>0.1</v>
      </c>
      <c r="H23" s="1">
        <f>LOG(G23,2)*-1</f>
        <v>3.3219280948873622</v>
      </c>
    </row>
    <row r="24" spans="2:9" x14ac:dyDescent="0.2">
      <c r="C24" t="s">
        <v>18</v>
      </c>
      <c r="D24" t="s">
        <v>33</v>
      </c>
      <c r="E24" t="s">
        <v>39</v>
      </c>
      <c r="F24" s="1">
        <v>1</v>
      </c>
      <c r="G24" s="1">
        <f t="shared" si="1"/>
        <v>0.1</v>
      </c>
      <c r="H24" s="1">
        <f>LOG(G24,2)*-1</f>
        <v>3.3219280948873622</v>
      </c>
    </row>
    <row r="25" spans="2:9" x14ac:dyDescent="0.2">
      <c r="C25" t="s">
        <v>20</v>
      </c>
      <c r="D25" t="s">
        <v>33</v>
      </c>
      <c r="E25" t="s">
        <v>40</v>
      </c>
      <c r="F25" s="1">
        <v>0</v>
      </c>
      <c r="G25" s="1">
        <f t="shared" si="1"/>
        <v>0</v>
      </c>
      <c r="H25" s="1" t="s">
        <v>65</v>
      </c>
    </row>
    <row r="26" spans="2:9" x14ac:dyDescent="0.2">
      <c r="C26" t="s">
        <v>22</v>
      </c>
      <c r="D26" t="s">
        <v>33</v>
      </c>
      <c r="E26" t="s">
        <v>41</v>
      </c>
      <c r="F26" s="1">
        <v>0</v>
      </c>
      <c r="G26" s="1">
        <f t="shared" si="1"/>
        <v>0</v>
      </c>
      <c r="H26" s="1" t="s">
        <v>65</v>
      </c>
    </row>
    <row r="27" spans="2:9" x14ac:dyDescent="0.2">
      <c r="C27" t="s">
        <v>24</v>
      </c>
      <c r="D27" t="s">
        <v>33</v>
      </c>
      <c r="E27" t="s">
        <v>42</v>
      </c>
      <c r="F27" s="1">
        <v>1</v>
      </c>
      <c r="G27" s="1">
        <f t="shared" si="1"/>
        <v>0.1</v>
      </c>
      <c r="H27" s="1">
        <f>LOG(G27,2)*-1</f>
        <v>3.3219280948873622</v>
      </c>
    </row>
    <row r="28" spans="2:9" x14ac:dyDescent="0.2">
      <c r="C28" t="s">
        <v>26</v>
      </c>
      <c r="D28" t="s">
        <v>33</v>
      </c>
      <c r="E28" t="s">
        <v>43</v>
      </c>
      <c r="F28" s="1">
        <v>2</v>
      </c>
      <c r="G28" s="1">
        <f t="shared" si="1"/>
        <v>0.2</v>
      </c>
      <c r="H28" s="1">
        <f>LOG(G28,2)*-1</f>
        <v>2.3219280948873622</v>
      </c>
    </row>
    <row r="29" spans="2:9" x14ac:dyDescent="0.2">
      <c r="F29">
        <f>SUM(F19:F28)</f>
        <v>10</v>
      </c>
    </row>
    <row r="31" spans="2:9" x14ac:dyDescent="0.2">
      <c r="B31" t="s">
        <v>45</v>
      </c>
    </row>
    <row r="32" spans="2:9" x14ac:dyDescent="0.2"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6</v>
      </c>
    </row>
    <row r="33" spans="2:9" x14ac:dyDescent="0.2">
      <c r="C33" t="s">
        <v>7</v>
      </c>
      <c r="D33" t="s">
        <v>33</v>
      </c>
      <c r="E33" s="1" t="s">
        <v>34</v>
      </c>
      <c r="F33" s="1">
        <v>8</v>
      </c>
      <c r="G33" s="1">
        <f t="shared" ref="G33:G42" si="2">F33/10</f>
        <v>0.8</v>
      </c>
      <c r="H33" s="1">
        <f>LOG(G33,2)*-1</f>
        <v>0.32192809488736229</v>
      </c>
    </row>
    <row r="34" spans="2:9" x14ac:dyDescent="0.2">
      <c r="C34" t="s">
        <v>10</v>
      </c>
      <c r="D34" t="s">
        <v>33</v>
      </c>
      <c r="E34" s="1" t="s">
        <v>35</v>
      </c>
      <c r="F34" s="1">
        <v>0</v>
      </c>
      <c r="G34" s="1">
        <f t="shared" si="2"/>
        <v>0</v>
      </c>
      <c r="H34" s="1" t="s">
        <v>65</v>
      </c>
    </row>
    <row r="35" spans="2:9" x14ac:dyDescent="0.2">
      <c r="C35" t="s">
        <v>12</v>
      </c>
      <c r="D35" t="s">
        <v>33</v>
      </c>
      <c r="E35" t="s">
        <v>36</v>
      </c>
      <c r="F35" s="1">
        <v>1</v>
      </c>
      <c r="G35" s="1">
        <f t="shared" si="2"/>
        <v>0.1</v>
      </c>
      <c r="H35" s="1">
        <f>LOG(G35,2)*-1</f>
        <v>3.3219280948873622</v>
      </c>
    </row>
    <row r="36" spans="2:9" x14ac:dyDescent="0.2">
      <c r="C36" t="s">
        <v>14</v>
      </c>
      <c r="D36" t="s">
        <v>33</v>
      </c>
      <c r="E36" t="s">
        <v>37</v>
      </c>
      <c r="F36" s="1">
        <v>0</v>
      </c>
      <c r="G36" s="1">
        <f t="shared" si="2"/>
        <v>0</v>
      </c>
      <c r="H36" s="1" t="s">
        <v>65</v>
      </c>
    </row>
    <row r="37" spans="2:9" x14ac:dyDescent="0.2">
      <c r="C37" t="s">
        <v>16</v>
      </c>
      <c r="D37" t="s">
        <v>33</v>
      </c>
      <c r="E37" t="s">
        <v>38</v>
      </c>
      <c r="F37" s="1">
        <v>1</v>
      </c>
      <c r="G37" s="1">
        <f t="shared" si="2"/>
        <v>0.1</v>
      </c>
      <c r="H37" s="1">
        <f>LOG(G37,2)*-1</f>
        <v>3.3219280948873622</v>
      </c>
    </row>
    <row r="38" spans="2:9" x14ac:dyDescent="0.2">
      <c r="C38" t="s">
        <v>18</v>
      </c>
      <c r="D38" t="s">
        <v>33</v>
      </c>
      <c r="E38" t="s">
        <v>39</v>
      </c>
      <c r="F38" s="1">
        <v>0</v>
      </c>
      <c r="G38" s="1">
        <f t="shared" si="2"/>
        <v>0</v>
      </c>
      <c r="H38" s="1" t="s">
        <v>65</v>
      </c>
    </row>
    <row r="39" spans="2:9" x14ac:dyDescent="0.2">
      <c r="C39" t="s">
        <v>20</v>
      </c>
      <c r="D39" t="s">
        <v>33</v>
      </c>
      <c r="E39" t="s">
        <v>40</v>
      </c>
      <c r="F39" s="1">
        <v>0</v>
      </c>
      <c r="G39" s="1">
        <f t="shared" si="2"/>
        <v>0</v>
      </c>
      <c r="H39" s="1" t="s">
        <v>65</v>
      </c>
    </row>
    <row r="40" spans="2:9" x14ac:dyDescent="0.2">
      <c r="C40" t="s">
        <v>22</v>
      </c>
      <c r="D40" t="s">
        <v>33</v>
      </c>
      <c r="E40" t="s">
        <v>41</v>
      </c>
      <c r="F40" s="1">
        <v>0</v>
      </c>
      <c r="G40" s="1">
        <f t="shared" si="2"/>
        <v>0</v>
      </c>
      <c r="H40" s="1" t="s">
        <v>65</v>
      </c>
      <c r="I40" t="s">
        <v>64</v>
      </c>
    </row>
    <row r="41" spans="2:9" x14ac:dyDescent="0.2">
      <c r="C41" t="s">
        <v>24</v>
      </c>
      <c r="D41" t="s">
        <v>33</v>
      </c>
      <c r="E41" t="s">
        <v>42</v>
      </c>
      <c r="F41" s="1">
        <v>0</v>
      </c>
      <c r="G41" s="1">
        <f t="shared" si="2"/>
        <v>0</v>
      </c>
      <c r="H41" s="1" t="s">
        <v>65</v>
      </c>
    </row>
    <row r="42" spans="2:9" x14ac:dyDescent="0.2">
      <c r="C42" t="s">
        <v>26</v>
      </c>
      <c r="D42" t="s">
        <v>33</v>
      </c>
      <c r="E42" t="s">
        <v>43</v>
      </c>
      <c r="F42" s="1">
        <v>0</v>
      </c>
      <c r="G42" s="1">
        <f t="shared" si="2"/>
        <v>0</v>
      </c>
      <c r="H42" s="1" t="s">
        <v>65</v>
      </c>
    </row>
    <row r="43" spans="2:9" x14ac:dyDescent="0.2">
      <c r="F43">
        <f>SUM(F33:F42)</f>
        <v>10</v>
      </c>
    </row>
    <row r="46" spans="2:9" x14ac:dyDescent="0.2">
      <c r="B46" t="s">
        <v>46</v>
      </c>
    </row>
    <row r="47" spans="2:9" x14ac:dyDescent="0.2">
      <c r="C47" s="1" t="s">
        <v>1</v>
      </c>
      <c r="D47" s="1" t="s">
        <v>2</v>
      </c>
      <c r="E47" s="1" t="s">
        <v>3</v>
      </c>
      <c r="F47" s="1" t="s">
        <v>4</v>
      </c>
      <c r="G47" s="1" t="s">
        <v>5</v>
      </c>
      <c r="H47" s="1" t="s">
        <v>6</v>
      </c>
    </row>
    <row r="48" spans="2:9" x14ac:dyDescent="0.2">
      <c r="C48" t="s">
        <v>7</v>
      </c>
      <c r="D48" t="s">
        <v>33</v>
      </c>
      <c r="E48" s="1" t="s">
        <v>34</v>
      </c>
      <c r="F48" s="1">
        <v>2</v>
      </c>
      <c r="G48" s="1">
        <f t="shared" ref="G48:G57" si="3">F48/10</f>
        <v>0.2</v>
      </c>
      <c r="H48" s="1">
        <f>LOG(G48,2)*-1</f>
        <v>2.3219280948873622</v>
      </c>
    </row>
    <row r="49" spans="2:9" x14ac:dyDescent="0.2">
      <c r="C49" t="s">
        <v>10</v>
      </c>
      <c r="D49" t="s">
        <v>33</v>
      </c>
      <c r="E49" s="1" t="s">
        <v>35</v>
      </c>
      <c r="F49" s="1">
        <v>0</v>
      </c>
      <c r="G49" s="1">
        <f t="shared" si="3"/>
        <v>0</v>
      </c>
      <c r="H49" s="1" t="s">
        <v>65</v>
      </c>
    </row>
    <row r="50" spans="2:9" x14ac:dyDescent="0.2">
      <c r="C50" t="s">
        <v>12</v>
      </c>
      <c r="D50" t="s">
        <v>33</v>
      </c>
      <c r="E50" t="s">
        <v>36</v>
      </c>
      <c r="F50" s="1">
        <v>1</v>
      </c>
      <c r="G50" s="1">
        <f t="shared" si="3"/>
        <v>0.1</v>
      </c>
      <c r="H50" s="1">
        <f>LOG(G50,2)*-1</f>
        <v>3.3219280948873622</v>
      </c>
    </row>
    <row r="51" spans="2:9" x14ac:dyDescent="0.2">
      <c r="C51" t="s">
        <v>14</v>
      </c>
      <c r="D51" t="s">
        <v>33</v>
      </c>
      <c r="E51" t="s">
        <v>37</v>
      </c>
      <c r="F51" s="1">
        <v>0</v>
      </c>
      <c r="G51" s="1">
        <f t="shared" si="3"/>
        <v>0</v>
      </c>
      <c r="H51" s="1" t="s">
        <v>65</v>
      </c>
    </row>
    <row r="52" spans="2:9" x14ac:dyDescent="0.2">
      <c r="C52" t="s">
        <v>16</v>
      </c>
      <c r="D52" t="s">
        <v>33</v>
      </c>
      <c r="E52" t="s">
        <v>38</v>
      </c>
      <c r="F52" s="1">
        <v>1</v>
      </c>
      <c r="G52" s="1">
        <f t="shared" si="3"/>
        <v>0.1</v>
      </c>
      <c r="H52" s="1">
        <f>LOG(G52,2)*-1</f>
        <v>3.3219280948873622</v>
      </c>
    </row>
    <row r="53" spans="2:9" x14ac:dyDescent="0.2">
      <c r="C53" t="s">
        <v>18</v>
      </c>
      <c r="D53" t="s">
        <v>33</v>
      </c>
      <c r="E53" t="s">
        <v>39</v>
      </c>
      <c r="F53" s="1">
        <v>1</v>
      </c>
      <c r="G53" s="1">
        <f t="shared" si="3"/>
        <v>0.1</v>
      </c>
      <c r="H53" s="1">
        <f>LOG(G53,2)*-1</f>
        <v>3.3219280948873622</v>
      </c>
    </row>
    <row r="54" spans="2:9" x14ac:dyDescent="0.2">
      <c r="C54" t="s">
        <v>20</v>
      </c>
      <c r="D54" t="s">
        <v>33</v>
      </c>
      <c r="E54" t="s">
        <v>40</v>
      </c>
      <c r="F54" s="1">
        <v>0</v>
      </c>
      <c r="G54" s="1">
        <f t="shared" si="3"/>
        <v>0</v>
      </c>
      <c r="H54" s="1" t="s">
        <v>65</v>
      </c>
    </row>
    <row r="55" spans="2:9" x14ac:dyDescent="0.2">
      <c r="C55" t="s">
        <v>22</v>
      </c>
      <c r="D55" t="s">
        <v>33</v>
      </c>
      <c r="E55" t="s">
        <v>41</v>
      </c>
      <c r="F55" s="1">
        <v>5</v>
      </c>
      <c r="G55" s="1">
        <f t="shared" si="3"/>
        <v>0.5</v>
      </c>
      <c r="H55" s="1">
        <f>LOG(G55,2)*-1</f>
        <v>1</v>
      </c>
    </row>
    <row r="56" spans="2:9" x14ac:dyDescent="0.2">
      <c r="C56" t="s">
        <v>24</v>
      </c>
      <c r="D56" t="s">
        <v>33</v>
      </c>
      <c r="E56" t="s">
        <v>42</v>
      </c>
      <c r="F56" s="1">
        <v>0</v>
      </c>
      <c r="G56" s="1">
        <f t="shared" si="3"/>
        <v>0</v>
      </c>
      <c r="H56" s="1" t="s">
        <v>65</v>
      </c>
      <c r="I56" t="s">
        <v>64</v>
      </c>
    </row>
    <row r="57" spans="2:9" x14ac:dyDescent="0.2">
      <c r="C57" t="s">
        <v>26</v>
      </c>
      <c r="D57" t="s">
        <v>33</v>
      </c>
      <c r="E57" t="s">
        <v>43</v>
      </c>
      <c r="F57" s="1">
        <v>0</v>
      </c>
      <c r="G57" s="1">
        <f t="shared" si="3"/>
        <v>0</v>
      </c>
      <c r="H57" s="1" t="s">
        <v>65</v>
      </c>
    </row>
    <row r="58" spans="2:9" x14ac:dyDescent="0.2">
      <c r="F58">
        <f>SUM(F48:F57)</f>
        <v>10</v>
      </c>
    </row>
    <row r="61" spans="2:9" x14ac:dyDescent="0.2">
      <c r="B61" t="s">
        <v>47</v>
      </c>
    </row>
    <row r="62" spans="2:9" x14ac:dyDescent="0.2">
      <c r="C62" s="1" t="s">
        <v>1</v>
      </c>
      <c r="D62" s="1" t="s">
        <v>2</v>
      </c>
      <c r="E62" s="1" t="s">
        <v>3</v>
      </c>
      <c r="F62" s="1" t="s">
        <v>4</v>
      </c>
      <c r="G62" s="1" t="s">
        <v>5</v>
      </c>
      <c r="H62" s="1" t="s">
        <v>6</v>
      </c>
    </row>
    <row r="63" spans="2:9" x14ac:dyDescent="0.2">
      <c r="C63" t="s">
        <v>7</v>
      </c>
      <c r="D63" t="s">
        <v>33</v>
      </c>
      <c r="E63" s="1" t="s">
        <v>34</v>
      </c>
      <c r="F63" s="1">
        <v>2</v>
      </c>
      <c r="G63" s="1">
        <f t="shared" ref="G63:G72" si="4">F63/10</f>
        <v>0.2</v>
      </c>
      <c r="H63" s="1">
        <f>LOG(G63,2)*-1</f>
        <v>2.3219280948873622</v>
      </c>
    </row>
    <row r="64" spans="2:9" x14ac:dyDescent="0.2">
      <c r="C64" t="s">
        <v>10</v>
      </c>
      <c r="D64" t="s">
        <v>33</v>
      </c>
      <c r="E64" s="1" t="s">
        <v>35</v>
      </c>
      <c r="F64" s="1">
        <v>1</v>
      </c>
      <c r="G64" s="1">
        <f t="shared" si="4"/>
        <v>0.1</v>
      </c>
      <c r="H64" s="1">
        <f>LOG(G64,2)*-1</f>
        <v>3.3219280948873622</v>
      </c>
    </row>
    <row r="65" spans="3:9" x14ac:dyDescent="0.2">
      <c r="C65" t="s">
        <v>12</v>
      </c>
      <c r="D65" t="s">
        <v>33</v>
      </c>
      <c r="E65" t="s">
        <v>36</v>
      </c>
      <c r="F65" s="1">
        <v>1</v>
      </c>
      <c r="G65" s="1">
        <f t="shared" si="4"/>
        <v>0.1</v>
      </c>
      <c r="H65" s="1">
        <f>LOG(G65,2)*-1</f>
        <v>3.3219280948873622</v>
      </c>
    </row>
    <row r="66" spans="3:9" x14ac:dyDescent="0.2">
      <c r="C66" t="s">
        <v>14</v>
      </c>
      <c r="D66" t="s">
        <v>33</v>
      </c>
      <c r="E66" t="s">
        <v>37</v>
      </c>
      <c r="F66" s="1">
        <v>1</v>
      </c>
      <c r="G66" s="1">
        <f t="shared" si="4"/>
        <v>0.1</v>
      </c>
      <c r="H66" s="1">
        <f>LOG(G66,2)*-1</f>
        <v>3.3219280948873622</v>
      </c>
      <c r="I66" t="s">
        <v>64</v>
      </c>
    </row>
    <row r="67" spans="3:9" x14ac:dyDescent="0.2">
      <c r="C67" t="s">
        <v>16</v>
      </c>
      <c r="D67" t="s">
        <v>33</v>
      </c>
      <c r="E67" t="s">
        <v>38</v>
      </c>
      <c r="F67" s="1">
        <v>1</v>
      </c>
      <c r="G67" s="1">
        <f t="shared" si="4"/>
        <v>0.1</v>
      </c>
      <c r="H67" s="1">
        <f>LOG(G67,2)*-1</f>
        <v>3.3219280948873622</v>
      </c>
    </row>
    <row r="68" spans="3:9" x14ac:dyDescent="0.2">
      <c r="C68" t="s">
        <v>18</v>
      </c>
      <c r="D68" t="s">
        <v>33</v>
      </c>
      <c r="E68" t="s">
        <v>39</v>
      </c>
      <c r="F68" s="1">
        <v>1</v>
      </c>
      <c r="G68" s="1">
        <f t="shared" si="4"/>
        <v>0.1</v>
      </c>
      <c r="H68" s="1">
        <f>LOG(G68,2)*-1</f>
        <v>3.3219280948873622</v>
      </c>
    </row>
    <row r="69" spans="3:9" x14ac:dyDescent="0.2">
      <c r="C69" t="s">
        <v>20</v>
      </c>
      <c r="D69" t="s">
        <v>33</v>
      </c>
      <c r="E69" t="s">
        <v>40</v>
      </c>
      <c r="F69" s="1">
        <v>0</v>
      </c>
      <c r="G69" s="1">
        <f t="shared" si="4"/>
        <v>0</v>
      </c>
      <c r="H69" s="1" t="s">
        <v>65</v>
      </c>
    </row>
    <row r="70" spans="3:9" x14ac:dyDescent="0.2">
      <c r="C70" t="s">
        <v>22</v>
      </c>
      <c r="D70" t="s">
        <v>33</v>
      </c>
      <c r="E70" t="s">
        <v>41</v>
      </c>
      <c r="F70" s="1">
        <v>2</v>
      </c>
      <c r="G70" s="1">
        <f t="shared" si="4"/>
        <v>0.2</v>
      </c>
      <c r="H70" s="1">
        <f>LOG(G70,2)*-1</f>
        <v>2.3219280948873622</v>
      </c>
    </row>
    <row r="71" spans="3:9" x14ac:dyDescent="0.2">
      <c r="C71" t="s">
        <v>24</v>
      </c>
      <c r="D71" t="s">
        <v>33</v>
      </c>
      <c r="E71" t="s">
        <v>42</v>
      </c>
      <c r="F71" s="1">
        <v>1</v>
      </c>
      <c r="G71" s="1">
        <f t="shared" si="4"/>
        <v>0.1</v>
      </c>
      <c r="H71" s="1">
        <f>LOG(G71,2)*-1</f>
        <v>3.3219280948873622</v>
      </c>
    </row>
    <row r="72" spans="3:9" x14ac:dyDescent="0.2">
      <c r="C72" t="s">
        <v>26</v>
      </c>
      <c r="D72" t="s">
        <v>33</v>
      </c>
      <c r="E72" t="s">
        <v>43</v>
      </c>
      <c r="F72" s="1">
        <v>0</v>
      </c>
      <c r="G72" s="1">
        <f t="shared" si="4"/>
        <v>0</v>
      </c>
      <c r="H72" s="1" t="s">
        <v>65</v>
      </c>
    </row>
    <row r="73" spans="3:9" x14ac:dyDescent="0.2">
      <c r="F73">
        <f>SUM(F63:F72)</f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473F-FE8C-874E-8CEA-5BE7944483BA}">
  <dimension ref="B4:I78"/>
  <sheetViews>
    <sheetView topLeftCell="A48" workbookViewId="0">
      <selection activeCell="H11" sqref="H11"/>
    </sheetView>
  </sheetViews>
  <sheetFormatPr baseColWidth="10" defaultRowHeight="16" x14ac:dyDescent="0.2"/>
  <sheetData>
    <row r="4" spans="2:9" x14ac:dyDescent="0.2">
      <c r="B4" t="s">
        <v>48</v>
      </c>
    </row>
    <row r="5" spans="2:9" x14ac:dyDescent="0.2"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2:9" x14ac:dyDescent="0.2">
      <c r="C6" t="s">
        <v>7</v>
      </c>
      <c r="D6" t="s">
        <v>49</v>
      </c>
      <c r="E6" s="1" t="s">
        <v>50</v>
      </c>
      <c r="F6" s="1">
        <v>0</v>
      </c>
      <c r="G6" s="1">
        <f t="shared" ref="G6:G15" si="0">F6/10</f>
        <v>0</v>
      </c>
      <c r="H6" s="1" t="s">
        <v>66</v>
      </c>
      <c r="I6" t="s">
        <v>64</v>
      </c>
    </row>
    <row r="7" spans="2:9" x14ac:dyDescent="0.2">
      <c r="C7" t="s">
        <v>10</v>
      </c>
      <c r="D7" t="s">
        <v>49</v>
      </c>
      <c r="E7" s="1" t="s">
        <v>51</v>
      </c>
      <c r="F7" s="1">
        <v>0</v>
      </c>
      <c r="G7" s="1">
        <f t="shared" si="0"/>
        <v>0</v>
      </c>
      <c r="H7" s="1" t="s">
        <v>66</v>
      </c>
    </row>
    <row r="8" spans="2:9" x14ac:dyDescent="0.2">
      <c r="C8" t="s">
        <v>12</v>
      </c>
      <c r="D8" t="s">
        <v>49</v>
      </c>
      <c r="E8" t="s">
        <v>52</v>
      </c>
      <c r="F8">
        <v>3</v>
      </c>
      <c r="G8" s="1">
        <f t="shared" si="0"/>
        <v>0.3</v>
      </c>
      <c r="H8" s="1">
        <f>LOG(G8,2)*-1</f>
        <v>1.7369655941662063</v>
      </c>
    </row>
    <row r="9" spans="2:9" x14ac:dyDescent="0.2">
      <c r="C9" t="s">
        <v>14</v>
      </c>
      <c r="D9" t="s">
        <v>49</v>
      </c>
      <c r="E9" t="s">
        <v>53</v>
      </c>
      <c r="F9">
        <v>2</v>
      </c>
      <c r="G9" s="1">
        <f t="shared" si="0"/>
        <v>0.2</v>
      </c>
      <c r="H9" s="1">
        <f>LOG(G9,2)*-1</f>
        <v>2.3219280948873622</v>
      </c>
    </row>
    <row r="10" spans="2:9" x14ac:dyDescent="0.2">
      <c r="C10" t="s">
        <v>16</v>
      </c>
      <c r="D10" t="s">
        <v>49</v>
      </c>
      <c r="E10" t="s">
        <v>54</v>
      </c>
      <c r="F10">
        <v>0</v>
      </c>
      <c r="G10" s="1">
        <f t="shared" si="0"/>
        <v>0</v>
      </c>
      <c r="H10" s="1" t="s">
        <v>66</v>
      </c>
    </row>
    <row r="11" spans="2:9" x14ac:dyDescent="0.2">
      <c r="C11" t="s">
        <v>18</v>
      </c>
      <c r="D11" t="s">
        <v>49</v>
      </c>
      <c r="E11" t="s">
        <v>55</v>
      </c>
      <c r="F11">
        <v>0</v>
      </c>
      <c r="G11" s="1">
        <f t="shared" si="0"/>
        <v>0</v>
      </c>
      <c r="H11" s="1" t="s">
        <v>66</v>
      </c>
    </row>
    <row r="12" spans="2:9" x14ac:dyDescent="0.2">
      <c r="C12" t="s">
        <v>20</v>
      </c>
      <c r="D12" t="s">
        <v>49</v>
      </c>
      <c r="E12" t="s">
        <v>56</v>
      </c>
      <c r="F12">
        <v>2</v>
      </c>
      <c r="G12" s="1">
        <f t="shared" si="0"/>
        <v>0.2</v>
      </c>
      <c r="H12" s="1">
        <f>LOG(G12,2)*-1</f>
        <v>2.3219280948873622</v>
      </c>
    </row>
    <row r="13" spans="2:9" x14ac:dyDescent="0.2">
      <c r="C13" t="s">
        <v>22</v>
      </c>
      <c r="D13" t="s">
        <v>49</v>
      </c>
      <c r="E13" t="s">
        <v>57</v>
      </c>
      <c r="F13">
        <v>1</v>
      </c>
      <c r="G13" s="1">
        <f t="shared" si="0"/>
        <v>0.1</v>
      </c>
      <c r="H13" s="1">
        <f>LOG(G13,2)*-1</f>
        <v>3.3219280948873622</v>
      </c>
    </row>
    <row r="14" spans="2:9" x14ac:dyDescent="0.2">
      <c r="C14" t="s">
        <v>24</v>
      </c>
      <c r="D14" t="s">
        <v>49</v>
      </c>
      <c r="E14" t="s">
        <v>58</v>
      </c>
      <c r="F14">
        <v>1</v>
      </c>
      <c r="G14" s="1">
        <f t="shared" si="0"/>
        <v>0.1</v>
      </c>
      <c r="H14" s="1">
        <f>LOG(G14,2)*-1</f>
        <v>3.3219280948873622</v>
      </c>
    </row>
    <row r="15" spans="2:9" x14ac:dyDescent="0.2">
      <c r="C15" t="s">
        <v>26</v>
      </c>
      <c r="D15" t="s">
        <v>49</v>
      </c>
      <c r="E15" t="s">
        <v>59</v>
      </c>
      <c r="F15">
        <v>1</v>
      </c>
      <c r="G15" s="1">
        <f t="shared" si="0"/>
        <v>0.1</v>
      </c>
      <c r="H15" s="1">
        <f>LOG(G15,2)*-1</f>
        <v>3.3219280948873622</v>
      </c>
    </row>
    <row r="16" spans="2:9" x14ac:dyDescent="0.2">
      <c r="F16">
        <f>SUM(F6:F15)</f>
        <v>10</v>
      </c>
    </row>
    <row r="20" spans="2:9" x14ac:dyDescent="0.2">
      <c r="B20" t="s">
        <v>60</v>
      </c>
    </row>
    <row r="21" spans="2:9" x14ac:dyDescent="0.2"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  <c r="H21" s="1" t="s">
        <v>6</v>
      </c>
    </row>
    <row r="22" spans="2:9" x14ac:dyDescent="0.2">
      <c r="C22" t="s">
        <v>7</v>
      </c>
      <c r="D22" t="s">
        <v>49</v>
      </c>
      <c r="E22" s="1" t="s">
        <v>50</v>
      </c>
      <c r="F22" s="1">
        <v>1</v>
      </c>
      <c r="G22" s="1">
        <f t="shared" ref="G22:G31" si="1">F22/10</f>
        <v>0.1</v>
      </c>
      <c r="H22" s="1">
        <f>LOG(G22,2)*-1</f>
        <v>3.3219280948873622</v>
      </c>
    </row>
    <row r="23" spans="2:9" x14ac:dyDescent="0.2">
      <c r="C23" t="s">
        <v>10</v>
      </c>
      <c r="D23" t="s">
        <v>49</v>
      </c>
      <c r="E23" s="1" t="s">
        <v>51</v>
      </c>
      <c r="F23" s="1">
        <v>1</v>
      </c>
      <c r="G23" s="1">
        <f t="shared" si="1"/>
        <v>0.1</v>
      </c>
      <c r="H23" s="1">
        <f>LOG(G23,2)*-1</f>
        <v>3.3219280948873622</v>
      </c>
    </row>
    <row r="24" spans="2:9" x14ac:dyDescent="0.2">
      <c r="C24" t="s">
        <v>12</v>
      </c>
      <c r="D24" t="s">
        <v>49</v>
      </c>
      <c r="E24" t="s">
        <v>52</v>
      </c>
      <c r="F24">
        <v>1</v>
      </c>
      <c r="G24" s="1">
        <f t="shared" si="1"/>
        <v>0.1</v>
      </c>
      <c r="H24" s="1">
        <f>LOG(G24,2)*-1</f>
        <v>3.3219280948873622</v>
      </c>
      <c r="I24" t="s">
        <v>64</v>
      </c>
    </row>
    <row r="25" spans="2:9" x14ac:dyDescent="0.2">
      <c r="C25" t="s">
        <v>14</v>
      </c>
      <c r="D25" t="s">
        <v>49</v>
      </c>
      <c r="E25" t="s">
        <v>53</v>
      </c>
      <c r="F25">
        <v>1</v>
      </c>
      <c r="G25" s="1">
        <f t="shared" si="1"/>
        <v>0.1</v>
      </c>
      <c r="H25" s="1">
        <f>LOG(G25,2)*-1</f>
        <v>3.3219280948873622</v>
      </c>
    </row>
    <row r="26" spans="2:9" x14ac:dyDescent="0.2">
      <c r="C26" t="s">
        <v>16</v>
      </c>
      <c r="D26" t="s">
        <v>49</v>
      </c>
      <c r="E26" t="s">
        <v>54</v>
      </c>
      <c r="F26">
        <v>1</v>
      </c>
      <c r="G26" s="1">
        <f t="shared" si="1"/>
        <v>0.1</v>
      </c>
      <c r="H26" s="1">
        <f>LOG(G26,2)*-1</f>
        <v>3.3219280948873622</v>
      </c>
    </row>
    <row r="27" spans="2:9" x14ac:dyDescent="0.2">
      <c r="C27" t="s">
        <v>18</v>
      </c>
      <c r="D27" t="s">
        <v>49</v>
      </c>
      <c r="E27" t="s">
        <v>55</v>
      </c>
      <c r="F27">
        <v>1</v>
      </c>
      <c r="G27" s="1">
        <f t="shared" si="1"/>
        <v>0.1</v>
      </c>
      <c r="H27" s="1">
        <f>LOG(G27,2)*-1</f>
        <v>3.3219280948873622</v>
      </c>
    </row>
    <row r="28" spans="2:9" x14ac:dyDescent="0.2">
      <c r="C28" t="s">
        <v>20</v>
      </c>
      <c r="D28" t="s">
        <v>49</v>
      </c>
      <c r="E28" t="s">
        <v>56</v>
      </c>
      <c r="F28">
        <v>1</v>
      </c>
      <c r="G28" s="1">
        <f t="shared" si="1"/>
        <v>0.1</v>
      </c>
      <c r="H28" s="1">
        <f>LOG(G28,2)*-1</f>
        <v>3.3219280948873622</v>
      </c>
    </row>
    <row r="29" spans="2:9" x14ac:dyDescent="0.2">
      <c r="C29" t="s">
        <v>22</v>
      </c>
      <c r="D29" t="s">
        <v>49</v>
      </c>
      <c r="E29" t="s">
        <v>57</v>
      </c>
      <c r="F29">
        <v>1</v>
      </c>
      <c r="G29" s="1">
        <f t="shared" si="1"/>
        <v>0.1</v>
      </c>
      <c r="H29" s="1">
        <f>LOG(G29,2)*-1</f>
        <v>3.3219280948873622</v>
      </c>
    </row>
    <row r="30" spans="2:9" x14ac:dyDescent="0.2">
      <c r="C30" t="s">
        <v>24</v>
      </c>
      <c r="D30" t="s">
        <v>49</v>
      </c>
      <c r="E30" t="s">
        <v>58</v>
      </c>
      <c r="F30">
        <v>1</v>
      </c>
      <c r="G30" s="1">
        <f t="shared" si="1"/>
        <v>0.1</v>
      </c>
      <c r="H30" s="1">
        <f>LOG(G30,2)*-1</f>
        <v>3.3219280948873622</v>
      </c>
    </row>
    <row r="31" spans="2:9" x14ac:dyDescent="0.2">
      <c r="C31" t="s">
        <v>26</v>
      </c>
      <c r="D31" t="s">
        <v>49</v>
      </c>
      <c r="E31" t="s">
        <v>59</v>
      </c>
      <c r="F31">
        <v>1</v>
      </c>
      <c r="G31" s="1">
        <f t="shared" si="1"/>
        <v>0.1</v>
      </c>
      <c r="H31" s="1">
        <f>LOG(G31,2)*-1</f>
        <v>3.3219280948873622</v>
      </c>
    </row>
    <row r="32" spans="2:9" x14ac:dyDescent="0.2">
      <c r="F32">
        <f>SUM(F22:F31)</f>
        <v>10</v>
      </c>
    </row>
    <row r="36" spans="2:9" x14ac:dyDescent="0.2">
      <c r="B36" t="s">
        <v>61</v>
      </c>
    </row>
    <row r="37" spans="2:9" x14ac:dyDescent="0.2"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  <c r="H37" s="1" t="s">
        <v>6</v>
      </c>
    </row>
    <row r="38" spans="2:9" x14ac:dyDescent="0.2">
      <c r="C38" t="s">
        <v>7</v>
      </c>
      <c r="D38" t="s">
        <v>49</v>
      </c>
      <c r="E38" s="1" t="s">
        <v>50</v>
      </c>
      <c r="F38" s="1">
        <v>1</v>
      </c>
      <c r="G38" s="1">
        <f t="shared" ref="G38:G47" si="2">F38/10</f>
        <v>0.1</v>
      </c>
      <c r="H38" s="1">
        <f>LOG(G38,2)*-1</f>
        <v>3.3219280948873622</v>
      </c>
    </row>
    <row r="39" spans="2:9" x14ac:dyDescent="0.2">
      <c r="C39" t="s">
        <v>10</v>
      </c>
      <c r="D39" t="s">
        <v>49</v>
      </c>
      <c r="E39" s="1" t="s">
        <v>51</v>
      </c>
      <c r="F39" s="1">
        <v>1</v>
      </c>
      <c r="G39" s="1">
        <f t="shared" si="2"/>
        <v>0.1</v>
      </c>
      <c r="H39" s="1">
        <f>LOG(G39,2)*-1</f>
        <v>3.3219280948873622</v>
      </c>
      <c r="I39" t="s">
        <v>64</v>
      </c>
    </row>
    <row r="40" spans="2:9" x14ac:dyDescent="0.2">
      <c r="C40" t="s">
        <v>12</v>
      </c>
      <c r="D40" t="s">
        <v>49</v>
      </c>
      <c r="E40" t="s">
        <v>52</v>
      </c>
      <c r="F40">
        <v>2</v>
      </c>
      <c r="G40" s="1">
        <f t="shared" si="2"/>
        <v>0.2</v>
      </c>
      <c r="H40" s="1">
        <f>LOG(G40,2)*-1</f>
        <v>2.3219280948873622</v>
      </c>
    </row>
    <row r="41" spans="2:9" x14ac:dyDescent="0.2">
      <c r="C41" t="s">
        <v>14</v>
      </c>
      <c r="D41" t="s">
        <v>49</v>
      </c>
      <c r="E41" t="s">
        <v>53</v>
      </c>
      <c r="F41">
        <v>1</v>
      </c>
      <c r="G41" s="1">
        <f t="shared" si="2"/>
        <v>0.1</v>
      </c>
      <c r="H41" s="1">
        <f>LOG(G41,2)*-1</f>
        <v>3.3219280948873622</v>
      </c>
    </row>
    <row r="42" spans="2:9" x14ac:dyDescent="0.2">
      <c r="C42" t="s">
        <v>16</v>
      </c>
      <c r="D42" t="s">
        <v>49</v>
      </c>
      <c r="E42" t="s">
        <v>54</v>
      </c>
      <c r="F42">
        <v>0</v>
      </c>
      <c r="G42" s="1">
        <f t="shared" si="2"/>
        <v>0</v>
      </c>
      <c r="H42" s="1" t="s">
        <v>65</v>
      </c>
    </row>
    <row r="43" spans="2:9" x14ac:dyDescent="0.2">
      <c r="C43" t="s">
        <v>18</v>
      </c>
      <c r="D43" t="s">
        <v>49</v>
      </c>
      <c r="E43" t="s">
        <v>55</v>
      </c>
      <c r="F43">
        <v>0</v>
      </c>
      <c r="G43" s="1">
        <f t="shared" si="2"/>
        <v>0</v>
      </c>
      <c r="H43" s="1" t="s">
        <v>65</v>
      </c>
    </row>
    <row r="44" spans="2:9" x14ac:dyDescent="0.2">
      <c r="C44" t="s">
        <v>20</v>
      </c>
      <c r="D44" t="s">
        <v>49</v>
      </c>
      <c r="E44" t="s">
        <v>56</v>
      </c>
      <c r="F44">
        <v>1</v>
      </c>
      <c r="G44" s="1">
        <f t="shared" si="2"/>
        <v>0.1</v>
      </c>
      <c r="H44" s="1">
        <f>LOG(G44,2)*-1</f>
        <v>3.3219280948873622</v>
      </c>
    </row>
    <row r="45" spans="2:9" x14ac:dyDescent="0.2">
      <c r="C45" t="s">
        <v>22</v>
      </c>
      <c r="D45" t="s">
        <v>49</v>
      </c>
      <c r="E45" t="s">
        <v>57</v>
      </c>
      <c r="F45">
        <v>2</v>
      </c>
      <c r="G45" s="1">
        <f t="shared" si="2"/>
        <v>0.2</v>
      </c>
      <c r="H45" s="1">
        <f>LOG(G45,2)*-1</f>
        <v>2.3219280948873622</v>
      </c>
    </row>
    <row r="46" spans="2:9" x14ac:dyDescent="0.2">
      <c r="C46" t="s">
        <v>24</v>
      </c>
      <c r="D46" t="s">
        <v>49</v>
      </c>
      <c r="E46" t="s">
        <v>58</v>
      </c>
      <c r="F46">
        <v>1</v>
      </c>
      <c r="G46" s="1">
        <f t="shared" si="2"/>
        <v>0.1</v>
      </c>
      <c r="H46" s="1">
        <f>LOG(G46,2)*-1</f>
        <v>3.3219280948873622</v>
      </c>
    </row>
    <row r="47" spans="2:9" x14ac:dyDescent="0.2">
      <c r="C47" t="s">
        <v>26</v>
      </c>
      <c r="D47" t="s">
        <v>49</v>
      </c>
      <c r="E47" t="s">
        <v>59</v>
      </c>
      <c r="F47">
        <v>1</v>
      </c>
      <c r="G47" s="1">
        <f t="shared" si="2"/>
        <v>0.1</v>
      </c>
      <c r="H47" s="1">
        <f>LOG(G47,2)*-1</f>
        <v>3.3219280948873622</v>
      </c>
    </row>
    <row r="48" spans="2:9" x14ac:dyDescent="0.2">
      <c r="F48">
        <f>SUM(F38:F47)</f>
        <v>10</v>
      </c>
    </row>
    <row r="51" spans="2:9" x14ac:dyDescent="0.2">
      <c r="B51" t="s">
        <v>62</v>
      </c>
    </row>
    <row r="52" spans="2:9" x14ac:dyDescent="0.2">
      <c r="C52" s="1" t="s">
        <v>1</v>
      </c>
      <c r="D52" s="1" t="s">
        <v>2</v>
      </c>
      <c r="E52" s="1" t="s">
        <v>3</v>
      </c>
      <c r="F52" s="1" t="s">
        <v>4</v>
      </c>
      <c r="G52" s="1" t="s">
        <v>5</v>
      </c>
      <c r="H52" s="1" t="s">
        <v>6</v>
      </c>
    </row>
    <row r="53" spans="2:9" x14ac:dyDescent="0.2">
      <c r="C53" t="s">
        <v>7</v>
      </c>
      <c r="D53" t="s">
        <v>49</v>
      </c>
      <c r="E53" s="1" t="s">
        <v>50</v>
      </c>
      <c r="F53" s="1">
        <v>1</v>
      </c>
      <c r="G53" s="1">
        <f t="shared" ref="G53:G62" si="3">F53/10</f>
        <v>0.1</v>
      </c>
      <c r="H53" s="1">
        <f>LOG(G53,2)*-1</f>
        <v>3.3219280948873622</v>
      </c>
    </row>
    <row r="54" spans="2:9" x14ac:dyDescent="0.2">
      <c r="C54" t="s">
        <v>10</v>
      </c>
      <c r="D54" t="s">
        <v>49</v>
      </c>
      <c r="E54" s="1" t="s">
        <v>51</v>
      </c>
      <c r="F54" s="1">
        <v>2</v>
      </c>
      <c r="G54" s="1">
        <f t="shared" si="3"/>
        <v>0.2</v>
      </c>
      <c r="H54" s="1">
        <f>LOG(G54,2)*-1</f>
        <v>2.3219280948873622</v>
      </c>
    </row>
    <row r="55" spans="2:9" x14ac:dyDescent="0.2">
      <c r="C55" t="s">
        <v>12</v>
      </c>
      <c r="D55" t="s">
        <v>49</v>
      </c>
      <c r="E55" t="s">
        <v>52</v>
      </c>
      <c r="F55">
        <v>0</v>
      </c>
      <c r="G55" s="1">
        <f t="shared" si="3"/>
        <v>0</v>
      </c>
      <c r="H55" s="1" t="s">
        <v>65</v>
      </c>
    </row>
    <row r="56" spans="2:9" x14ac:dyDescent="0.2">
      <c r="C56" t="s">
        <v>14</v>
      </c>
      <c r="D56" t="s">
        <v>49</v>
      </c>
      <c r="E56" t="s">
        <v>53</v>
      </c>
      <c r="F56">
        <v>1</v>
      </c>
      <c r="G56" s="1">
        <f t="shared" si="3"/>
        <v>0.1</v>
      </c>
      <c r="H56" s="1">
        <f>LOG(G56,2)*-1</f>
        <v>3.3219280948873622</v>
      </c>
    </row>
    <row r="57" spans="2:9" x14ac:dyDescent="0.2">
      <c r="C57" t="s">
        <v>16</v>
      </c>
      <c r="D57" t="s">
        <v>49</v>
      </c>
      <c r="E57" t="s">
        <v>54</v>
      </c>
      <c r="F57">
        <v>1</v>
      </c>
      <c r="G57" s="1">
        <f t="shared" si="3"/>
        <v>0.1</v>
      </c>
      <c r="H57" s="1">
        <f>LOG(G57,2)*-1</f>
        <v>3.3219280948873622</v>
      </c>
      <c r="I57" t="s">
        <v>64</v>
      </c>
    </row>
    <row r="58" spans="2:9" x14ac:dyDescent="0.2">
      <c r="C58" t="s">
        <v>18</v>
      </c>
      <c r="D58" t="s">
        <v>49</v>
      </c>
      <c r="E58" t="s">
        <v>55</v>
      </c>
      <c r="F58">
        <v>0</v>
      </c>
      <c r="G58" s="1">
        <f t="shared" si="3"/>
        <v>0</v>
      </c>
      <c r="H58" s="1" t="s">
        <v>65</v>
      </c>
    </row>
    <row r="59" spans="2:9" x14ac:dyDescent="0.2">
      <c r="C59" t="s">
        <v>20</v>
      </c>
      <c r="D59" t="s">
        <v>49</v>
      </c>
      <c r="E59" t="s">
        <v>56</v>
      </c>
      <c r="F59">
        <v>1</v>
      </c>
      <c r="G59" s="1">
        <f t="shared" si="3"/>
        <v>0.1</v>
      </c>
      <c r="H59" s="1">
        <f>LOG(G59,2)*-1</f>
        <v>3.3219280948873622</v>
      </c>
    </row>
    <row r="60" spans="2:9" x14ac:dyDescent="0.2">
      <c r="C60" t="s">
        <v>22</v>
      </c>
      <c r="D60" t="s">
        <v>49</v>
      </c>
      <c r="E60" t="s">
        <v>57</v>
      </c>
      <c r="F60">
        <v>3</v>
      </c>
      <c r="G60" s="1">
        <f t="shared" si="3"/>
        <v>0.3</v>
      </c>
      <c r="H60" s="1">
        <f>LOG(G60,2)*-1</f>
        <v>1.7369655941662063</v>
      </c>
    </row>
    <row r="61" spans="2:9" x14ac:dyDescent="0.2">
      <c r="C61" t="s">
        <v>24</v>
      </c>
      <c r="D61" t="s">
        <v>49</v>
      </c>
      <c r="E61" t="s">
        <v>58</v>
      </c>
      <c r="F61">
        <v>0</v>
      </c>
      <c r="G61" s="1">
        <f t="shared" si="3"/>
        <v>0</v>
      </c>
      <c r="H61" s="1" t="s">
        <v>65</v>
      </c>
    </row>
    <row r="62" spans="2:9" x14ac:dyDescent="0.2">
      <c r="C62" t="s">
        <v>26</v>
      </c>
      <c r="D62" t="s">
        <v>49</v>
      </c>
      <c r="E62" t="s">
        <v>59</v>
      </c>
      <c r="F62">
        <v>1</v>
      </c>
      <c r="G62" s="1">
        <f t="shared" si="3"/>
        <v>0.1</v>
      </c>
      <c r="H62" s="1">
        <f>LOG(G62,2)*-1</f>
        <v>3.3219280948873622</v>
      </c>
    </row>
    <row r="63" spans="2:9" x14ac:dyDescent="0.2">
      <c r="F63">
        <f>SUM(F53:F62)</f>
        <v>10</v>
      </c>
    </row>
    <row r="66" spans="2:9" x14ac:dyDescent="0.2">
      <c r="B66" t="s">
        <v>63</v>
      </c>
    </row>
    <row r="67" spans="2:9" x14ac:dyDescent="0.2">
      <c r="C67" s="1" t="s">
        <v>1</v>
      </c>
      <c r="D67" s="1" t="s">
        <v>2</v>
      </c>
      <c r="E67" s="1" t="s">
        <v>3</v>
      </c>
      <c r="F67" s="1" t="s">
        <v>4</v>
      </c>
      <c r="G67" s="1" t="s">
        <v>5</v>
      </c>
      <c r="H67" s="1" t="s">
        <v>6</v>
      </c>
    </row>
    <row r="68" spans="2:9" x14ac:dyDescent="0.2">
      <c r="C68" t="s">
        <v>7</v>
      </c>
      <c r="D68" t="s">
        <v>49</v>
      </c>
      <c r="E68" s="1" t="s">
        <v>50</v>
      </c>
      <c r="F68" s="1">
        <v>1</v>
      </c>
      <c r="G68" s="1">
        <f t="shared" ref="G68:G77" si="4">F68/10</f>
        <v>0.1</v>
      </c>
      <c r="H68" s="1">
        <f>LOG(G68,2)*-1</f>
        <v>3.3219280948873622</v>
      </c>
    </row>
    <row r="69" spans="2:9" x14ac:dyDescent="0.2">
      <c r="C69" t="s">
        <v>10</v>
      </c>
      <c r="D69" t="s">
        <v>49</v>
      </c>
      <c r="E69" s="1" t="s">
        <v>51</v>
      </c>
      <c r="F69" s="1">
        <v>1</v>
      </c>
      <c r="G69" s="1">
        <f t="shared" si="4"/>
        <v>0.1</v>
      </c>
      <c r="H69" s="1">
        <f>LOG(G69,2)*-1</f>
        <v>3.3219280948873622</v>
      </c>
    </row>
    <row r="70" spans="2:9" x14ac:dyDescent="0.2">
      <c r="C70" t="s">
        <v>12</v>
      </c>
      <c r="D70" t="s">
        <v>49</v>
      </c>
      <c r="E70" t="s">
        <v>52</v>
      </c>
      <c r="F70">
        <v>1</v>
      </c>
      <c r="G70" s="1">
        <f t="shared" si="4"/>
        <v>0.1</v>
      </c>
      <c r="H70" s="1">
        <f>LOG(G70,2)*-1</f>
        <v>3.3219280948873622</v>
      </c>
    </row>
    <row r="71" spans="2:9" x14ac:dyDescent="0.2">
      <c r="C71" t="s">
        <v>14</v>
      </c>
      <c r="D71" t="s">
        <v>49</v>
      </c>
      <c r="E71" t="s">
        <v>53</v>
      </c>
      <c r="F71">
        <v>1</v>
      </c>
      <c r="G71" s="1">
        <f t="shared" si="4"/>
        <v>0.1</v>
      </c>
      <c r="H71" s="1">
        <f>LOG(G71,2)*-1</f>
        <v>3.3219280948873622</v>
      </c>
    </row>
    <row r="72" spans="2:9" x14ac:dyDescent="0.2">
      <c r="C72" t="s">
        <v>16</v>
      </c>
      <c r="D72" t="s">
        <v>49</v>
      </c>
      <c r="E72" t="s">
        <v>54</v>
      </c>
      <c r="F72">
        <v>1</v>
      </c>
      <c r="G72" s="1">
        <f t="shared" si="4"/>
        <v>0.1</v>
      </c>
      <c r="H72" s="1">
        <f>LOG(G72,2)*-1</f>
        <v>3.3219280948873622</v>
      </c>
    </row>
    <row r="73" spans="2:9" x14ac:dyDescent="0.2">
      <c r="C73" t="s">
        <v>18</v>
      </c>
      <c r="D73" t="s">
        <v>49</v>
      </c>
      <c r="E73" t="s">
        <v>55</v>
      </c>
      <c r="F73">
        <v>0</v>
      </c>
      <c r="G73" s="1">
        <f t="shared" si="4"/>
        <v>0</v>
      </c>
      <c r="H73" s="1" t="s">
        <v>65</v>
      </c>
    </row>
    <row r="74" spans="2:9" x14ac:dyDescent="0.2">
      <c r="C74" t="s">
        <v>20</v>
      </c>
      <c r="D74" t="s">
        <v>49</v>
      </c>
      <c r="E74" t="s">
        <v>56</v>
      </c>
      <c r="F74">
        <v>1</v>
      </c>
      <c r="G74" s="1">
        <f t="shared" si="4"/>
        <v>0.1</v>
      </c>
      <c r="H74" s="1">
        <f>LOG(G74,2)*-1</f>
        <v>3.3219280948873622</v>
      </c>
    </row>
    <row r="75" spans="2:9" x14ac:dyDescent="0.2">
      <c r="C75" t="s">
        <v>22</v>
      </c>
      <c r="D75" t="s">
        <v>49</v>
      </c>
      <c r="E75" t="s">
        <v>57</v>
      </c>
      <c r="F75">
        <v>1</v>
      </c>
      <c r="G75" s="1">
        <f t="shared" si="4"/>
        <v>0.1</v>
      </c>
      <c r="H75" s="1">
        <f>LOG(G75,2)*-1</f>
        <v>3.3219280948873622</v>
      </c>
    </row>
    <row r="76" spans="2:9" x14ac:dyDescent="0.2">
      <c r="C76" t="s">
        <v>24</v>
      </c>
      <c r="D76" t="s">
        <v>49</v>
      </c>
      <c r="E76" t="s">
        <v>58</v>
      </c>
      <c r="F76">
        <v>2</v>
      </c>
      <c r="G76" s="1">
        <f t="shared" si="4"/>
        <v>0.2</v>
      </c>
      <c r="H76" s="1">
        <f>LOG(G76,2)*-1</f>
        <v>2.3219280948873622</v>
      </c>
    </row>
    <row r="77" spans="2:9" x14ac:dyDescent="0.2">
      <c r="C77" t="s">
        <v>26</v>
      </c>
      <c r="D77" t="s">
        <v>49</v>
      </c>
      <c r="E77" t="s">
        <v>59</v>
      </c>
      <c r="F77">
        <v>1</v>
      </c>
      <c r="G77" s="1">
        <f t="shared" si="4"/>
        <v>0.1</v>
      </c>
      <c r="H77" s="1">
        <f>LOG(G77,2)*-1</f>
        <v>3.3219280948873622</v>
      </c>
      <c r="I77" t="s">
        <v>64</v>
      </c>
    </row>
    <row r="78" spans="2:9" x14ac:dyDescent="0.2">
      <c r="F78">
        <f>SUM(F68:F77)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Tibetan</vt:lpstr>
      <vt:lpstr>Spanish</vt:lpstr>
      <vt:lpstr>English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Rosso</dc:creator>
  <cp:lastModifiedBy>Han, Rosso</cp:lastModifiedBy>
  <dcterms:created xsi:type="dcterms:W3CDTF">2026-06-13T19:45:12Z</dcterms:created>
  <dcterms:modified xsi:type="dcterms:W3CDTF">2026-06-13T20:20:10Z</dcterms:modified>
</cp:coreProperties>
</file>